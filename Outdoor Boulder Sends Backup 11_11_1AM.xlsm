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78091E9C-7A98-6F4E-B039-20955EA0E110}" xr6:coauthVersionLast="47" xr6:coauthVersionMax="47" xr10:uidLastSave="{00000000-0000-0000-0000-000000000000}"/>
  <bookViews>
    <workbookView xWindow="0" yWindow="500" windowWidth="23500" windowHeight="16100" activeTab="3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2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32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32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33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8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8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9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C13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5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0" authorId="1" shapeId="0" xr:uid="{152D789B-636C-1C4E-8104-BDF0C6B69599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0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1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21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2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23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25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5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5" authorId="0" shapeId="0" xr:uid="{C28A8068-55C8-8142-A211-2EAEA3E70E9E}">
      <text>
        <r>
          <rPr>
            <sz val="12"/>
            <color rgb="FF000000"/>
            <rFont val="Aptos Narrow"/>
          </rPr>
          <t>Proj date: 7/1/23, 2 sesh</t>
        </r>
      </text>
    </comment>
    <comment ref="G25" authorId="0" shapeId="0" xr:uid="{362278F3-ABB0-5A45-B8EF-C771721A057D}">
      <text>
        <r>
          <rPr>
            <sz val="12"/>
            <color rgb="FF000000"/>
            <rFont val="Aptos Narrow"/>
          </rPr>
          <t>Hard in summer, easy in winter</t>
        </r>
      </text>
    </comment>
    <comment ref="K25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26" authorId="1" shapeId="0" xr:uid="{ABF56A47-CB5B-DB47-AF88-0098A37E6EF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26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27" authorId="1" shapeId="0" xr:uid="{F618F493-AAAC-9F4B-8FBF-8766ACEF788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J28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29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B31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1" authorId="0" shapeId="0" xr:uid="{787F3A49-0ED0-0341-B2B2-1696B628B2EF}">
      <text>
        <r>
          <rPr>
            <sz val="12"/>
            <color rgb="FF000000"/>
            <rFont val="Aptos Narrow"/>
          </rPr>
          <t>Project: 6/20/24, 3-4 sesh</t>
        </r>
      </text>
    </comment>
    <comment ref="F33" authorId="0" shapeId="0" xr:uid="{4672CF7C-43EF-0041-A99E-72EB13361F1F}">
      <text>
        <r>
          <rPr>
            <sz val="12"/>
            <color rgb="FF000000"/>
            <rFont val="Aptos Narrow"/>
          </rPr>
          <t xml:space="preserve">2 sesh
</t>
        </r>
      </text>
    </comment>
    <comment ref="G33" authorId="1" shapeId="0" xr:uid="{B9AED109-B8CA-2241-9204-1BBB6CFD7E4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4" authorId="0" shapeId="0" xr:uid="{0C99608C-D6C7-0546-90D9-1577D89221B4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4" authorId="0" shapeId="0" xr:uid="{FDB3F7DD-9EBC-4143-8E9C-7E4110D71E40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C35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J35" authorId="0" shapeId="0" xr:uid="{E87D63AB-5961-6243-8527-474969F110D1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35" authorId="0" shapeId="0" xr:uid="{9947C0CE-AF0B-C74F-AA2A-672EAF03E1B3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B36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6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<sst xmlns="http://schemas.openxmlformats.org/spreadsheetml/2006/main" count="562" uniqueCount="167">
  <si>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</si>
  <si>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</si>
  <si>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</si>
  <si>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</si>
  <si>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</si>
  <si>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</si>
  <si>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</si>
  <si>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</si>
  <si>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</si>
  <si>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</si>
  <si>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</si>
  <si>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</si>
  <si>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</si>
  <si>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</si>
  <si>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</si>
  <si>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</si>
  <si>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</si>
  <si>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</si>
  <si>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</si>
  <si>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</si>
  <si>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</si>
  <si>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</si>
  <si>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</si>
  <si>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</si>
  <si>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</si>
  <si>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</si>
  <si>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</si>
  <si>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</si>
  <si>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</si>
  <si>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</si>
  <si>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</si>
  <si>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</si>
  <si>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</si>
  <si>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</si>
  <si>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</si>
  <si>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</si>
  <si>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</si>
  <si>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</si>
  <si>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</si>
  <si>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</si>
  <si>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</si>
  <si>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</si>
  <si>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</si>
  <si>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</si>
  <si>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</si>
  <si>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</si>
  <si>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</si>
  <si>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</si>
  <si>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</si>
  <si>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</si>
  <si>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</si>
  <si>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</si>
  <si>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</si>
  <si>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</si>
  <si>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</si>
  <si>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</si>
  <si>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</si>
  <si>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Baby Step🦅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</si>
  <si>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</si>
  <si>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</si>
  <si>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</si>
  <si>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</si>
  <si>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</si>
  <si>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</si>
  <si>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</si>
  <si>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</si>
  <si>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</si>
  <si>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</si>
  <si>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</si>
  <si>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</si>
  <si>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</si>
  <si>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</si>
  <si>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</si>
  <si>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</si>
  <si>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</si>
  <si>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</si>
  <si>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</si>
  <si>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</si>
  <si>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</si>
  <si>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</si>
  <si>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</si>
  <si>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</si>
  <si>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</si>
  <si>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</si>
  <si>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</si>
  <si>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</si>
  <si>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</si>
  <si>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</si>
  <si>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</si>
  <si>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</si>
  <si>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</si>
  <si>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</si>
  <si>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</si>
  <si>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</si>
  <si>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</si>
  <si>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</si>
  <si>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</si>
  <si>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</si>
  <si>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</si>
  <si>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</si>
  <si>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</si>
  <si>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</si>
  <si>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</si>
  <si>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</si>
  <si>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</si>
  <si>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</si>
  <si>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</si>
  <si>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</si>
  <si>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</si>
  <si>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</si>
  <si>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</si>
  <si>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</si>
  <si>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</si>
  <si>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</si>
  <si>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</si>
  <si>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</si>
  <si>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</si>
  <si>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</si>
  <si>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</si>
  <si>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</si>
  <si>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</si>
  <si>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</si>
  <si>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</si>
  <si>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</si>
  <si>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</si>
  <si>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</si>
  <si>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</si>
  <si>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</si>
  <si>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</si>
  <si>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</si>
  <si>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</si>
  <si>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</si>
  <si>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</si>
  <si>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</si>
  <si>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</si>
  <si>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</si>
  <si>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</si>
  <si>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</si>
  <si>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Ascending / Descending</t>
  </si>
  <si>
    <t>Hal 2000🦅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</si>
  <si>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</si>
  <si>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</si>
  <si>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</si>
  <si>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</si>
  <si>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</si>
  <si>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</si>
  <si>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</si>
  <si>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</si>
  <si>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</si>
  <si>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</si>
  <si>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</si>
  <si>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</si>
  <si>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</si>
  <si>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</si>
  <si>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</si>
  <si>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</si>
  <si>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Ice Pond, New York</t>
  </si>
  <si>
    <t>Working File</t>
  </si>
  <si>
    <t>To do</t>
  </si>
  <si>
    <t>Rumney, NH</t>
  </si>
  <si>
    <t>Clinton Rd Boulder, CT</t>
  </si>
  <si>
    <t>sort location by alphabetical order</t>
  </si>
  <si>
    <t>---</t>
  </si>
  <si>
    <t>Descending</t>
  </si>
  <si>
    <t>Man Bear Pig🦅</t>
  </si>
  <si>
    <t>Locked In🪖</t>
  </si>
  <si>
    <t>Totem Pole🦅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</si>
</sst>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0" fontId="7" fillId="0" borderId="6" xfId="0" applyFont="1" applyBorder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8" fillId="0" borderId="0" xfId="0" applyFont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0" fillId="21" borderId="0" xfId="0" applyFill="1"/>
    <xf numFmtId="14" fontId="0" fillId="21" borderId="0" xfId="0" applyNumberFormat="1" applyFill="1"/>
    <xf numFmtId="14" fontId="13" fillId="0" borderId="0" xfId="0" applyNumberFormat="1" applyFont="1"/>
    <xf numFmtId="0" fontId="3" fillId="0" borderId="19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vertical="center" shrinkToFit="1"/>
    </xf>
    <xf numFmtId="0" fontId="1" fillId="0" borderId="0" xfId="0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6" xfId="0" applyNumberFormat="1" applyFont="1" applyBorder="1" applyAlignment="1">
      <alignment vertical="center" shrinkToFit="1"/>
    </xf>
    <xf numFmtId="0" fontId="3" fillId="0" borderId="6" xfId="0" applyFont="1" applyBorder="1" applyAlignment="1">
      <alignment vertical="center" shrinkToFit="1"/>
    </xf>
    <xf numFmtId="14" fontId="3" fillId="0" borderId="0" xfId="0" applyNumberFormat="1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9" xfId="0" applyFont="1" applyBorder="1" applyAlignment="1">
      <alignment vertical="center" shrinkToFit="1"/>
    </xf>
    <xf numFmtId="0" fontId="1" fillId="0" borderId="0" xfId="0" applyFont="1" applyBorder="1" applyAlignment="1">
      <alignment vertical="center" shrinkToFit="1"/>
    </xf>
    <xf numFmtId="0" fontId="3" fillId="0" borderId="20" xfId="0" applyFont="1" applyBorder="1" applyAlignment="1">
      <alignment vertical="center" shrinkToFit="1"/>
    </xf>
    <xf numFmtId="14" fontId="3" fillId="0" borderId="18" xfId="0" applyNumberFormat="1" applyFont="1" applyBorder="1" applyAlignment="1">
      <alignment vertical="center" shrinkToFit="1"/>
    </xf>
    <xf numFmtId="0" fontId="1" fillId="0" borderId="12" xfId="0" applyFont="1" applyBorder="1" applyAlignment="1">
      <alignment vertical="center" shrinkToFit="1"/>
    </xf>
    <xf numFmtId="0" fontId="3" fillId="0" borderId="12" xfId="0" applyFont="1" applyBorder="1" applyAlignment="1">
      <alignment vertical="center" shrinkToFit="1"/>
    </xf>
    <xf numFmtId="14" fontId="3" fillId="0" borderId="12" xfId="0" applyNumberFormat="1" applyFont="1" applyBorder="1" applyAlignment="1">
      <alignment vertical="center" shrinkToFit="1"/>
    </xf>
    <xf numFmtId="0" fontId="1" fillId="0" borderId="21" xfId="0" applyFont="1" applyBorder="1" applyAlignment="1">
      <alignment vertical="center" shrinkToFit="1"/>
    </xf>
    <xf numFmtId="0" fontId="3" fillId="0" borderId="22" xfId="0" applyFon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1" fillId="0" borderId="18" xfId="0" applyFont="1" applyBorder="1" applyAlignment="1">
      <alignment vertical="center" shrinkToFit="1"/>
    </xf>
    <xf numFmtId="0" fontId="1" fillId="0" borderId="22" xfId="0" applyFont="1" applyBorder="1" applyAlignment="1">
      <alignment vertical="center" shrinkToFit="1"/>
    </xf>
    <xf numFmtId="0" fontId="1" fillId="0" borderId="23" xfId="0" applyFont="1" applyBorder="1" applyAlignment="1">
      <alignment vertical="center" shrinkToFit="1"/>
    </xf>
    <xf numFmtId="0" fontId="3" fillId="0" borderId="24" xfId="0" applyFont="1" applyBorder="1" applyAlignment="1">
      <alignment vertical="center" shrinkToFit="1"/>
    </xf>
    <xf numFmtId="14" fontId="3" fillId="0" borderId="0" xfId="0" applyNumberFormat="1" applyFont="1" applyBorder="1" applyAlignment="1">
      <alignment horizontal="right" vertical="center" shrinkToFit="1"/>
    </xf>
    <xf numFmtId="0" fontId="7" fillId="0" borderId="0" xfId="0" applyFont="1" applyBorder="1" applyAlignment="1">
      <alignment vertical="center" shrinkToFit="1"/>
    </xf>
    <xf numFmtId="0" fontId="7" fillId="0" borderId="19" xfId="0" applyFon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0" fontId="0" fillId="0" borderId="24" xfId="0" applyBorder="1" applyAlignment="1">
      <alignment vertical="center" shrinkToFit="1"/>
    </xf>
    <xf numFmtId="0" fontId="0" fillId="0" borderId="17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22" xfId="0" applyBorder="1" applyAlignment="1">
      <alignment vertical="center" shrinkToFit="1"/>
    </xf>
    <xf numFmtId="14" fontId="3" fillId="0" borderId="18" xfId="0" applyNumberFormat="1" applyFont="1" applyBorder="1" applyAlignment="1">
      <alignment horizontal="right" vertical="center" shrinkToFit="1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28" t="s">
        <v>22</v>
      </c>
      <c r="X1" s="1"/>
      <c r="Y1" s="1"/>
      <c r="Z1" s="1"/>
    </row>
    <row r="2" spans="1:26">
      <c r="A2" s="19" t="s">
        <v>23</v>
      </c>
      <c r="B2" s="76" cm="1">
        <f t="array" ref="B2">_xlfn.IFS(B8="","",TRUE,B8/'Outdoor Climbs'!$V$3)</f>
        <v>6.25E-2</v>
      </c>
      <c r="C2" s="76" cm="1">
        <f t="array" ref="C2">_xlfn.IFS(C8="","",TRUE,C8/'Outdoor Climbs'!$V$3)</f>
        <v>0.15625</v>
      </c>
      <c r="D2" s="76" cm="1">
        <f t="array" ref="D2">_xlfn.IFS(D8="","",TRUE,D8/'Outdoor Climbs'!$V$3)</f>
        <v>1.5625E-2</v>
      </c>
      <c r="E2" s="76" cm="1">
        <f t="array" ref="E2">_xlfn.IFS(E8="","",TRUE,E8/'Outdoor Climbs'!$V$3)</f>
        <v>0.15625</v>
      </c>
      <c r="F2" s="76" cm="1">
        <f t="array" ref="F2">_xlfn.IFS(F8="","",TRUE,F8/'Outdoor Climbs'!$V$3)</f>
        <v>7.8125E-2</v>
      </c>
      <c r="G2" s="76" cm="1">
        <f t="array" ref="G2">_xlfn.IFS(G8="","",TRUE,G8/'Outdoor Climbs'!$V$3)</f>
        <v>7.8125E-2</v>
      </c>
      <c r="H2" s="76" cm="1">
        <f t="array" ref="H2">_xlfn.IFS(H8="","",TRUE,H8/'Outdoor Climbs'!$V$3)</f>
        <v>7.8125E-2</v>
      </c>
      <c r="I2" s="76" cm="1">
        <f t="array" ref="I2">_xlfn.IFS(I8="","",TRUE,I8/'Outdoor Climbs'!$V$3)</f>
        <v>4.6875E-2</v>
      </c>
      <c r="J2" s="76" cm="1">
        <f t="array" ref="J2">_xlfn.IFS(J8="","",TRUE,J8/'Outdoor Climbs'!$V$3)</f>
        <v>4.6875E-2</v>
      </c>
      <c r="K2" s="76" cm="1">
        <f t="array" ref="K2">_xlfn.IFS(K8="","",TRUE,K8/'Outdoor Climbs'!$V$3)</f>
        <v>1.5625E-2</v>
      </c>
      <c r="L2" s="76" cm="1">
        <f t="array" ref="L2">_xlfn.IFS(L8="","",TRUE,L8/'Outdoor Climbs'!$V$3)</f>
        <v>4.6875E-2</v>
      </c>
      <c r="M2" s="76" cm="1">
        <f t="array" ref="M2">_xlfn.IFS(M8="","",TRUE,M8/'Outdoor Climbs'!$V$3)</f>
        <v>0.15625</v>
      </c>
      <c r="N2" s="76" cm="1">
        <f t="array" ref="N2">_xlfn.IFS(N8="","",TRUE,N8/'Outdoor Climbs'!$V$3)</f>
        <v>4.6875E-2</v>
      </c>
      <c r="O2" s="76" t="str" cm="1">
        <f t="array" ref="O2">_xlfn.IFS(O8="","",TRUE,O8/'Outdoor Climbs'!$V$3)</f>
        <v/>
      </c>
      <c r="P2" s="76" cm="1">
        <f t="array" ref="P2">_xlfn.IFS(P8="","",TRUE,P8/'Outdoor Climbs'!$V$3)</f>
        <v>1.5625E-2</v>
      </c>
      <c r="Q2" s="76" t="str" cm="1">
        <f t="array" ref="Q2">_xlfn.IFS(Q8="","",TRUE,Q8/'Outdoor Climbs'!$V$3)</f>
        <v/>
      </c>
      <c r="R2" s="76" t="str" cm="1">
        <f t="array" ref="R2">_xlfn.IFS(R8="","",TRUE,R8/'Outdoor Climbs'!$V$3)</f>
        <v/>
      </c>
      <c r="S2" s="76" t="str" cm="1">
        <f t="array" ref="S2">_xlfn.IFS(S8="","",TRUE,S8/'Outdoor Climbs'!$V$3)</f>
        <v/>
      </c>
      <c r="T2" s="76" t="str" cm="1">
        <f t="array" ref="T2">_xlfn.IFS(T8="","",TRUE,T8/'Outdoor Climbs'!$V$3)</f>
        <v/>
      </c>
      <c r="U2" s="76" t="str" cm="1">
        <f t="array" ref="U2">_xlfn.IFS(U8="","",TRUE,U8/'Outdoor Climbs'!$V$3)</f>
        <v/>
      </c>
      <c r="V2" s="24">
        <f>SUM(B2:U2)</f>
        <v>1</v>
      </c>
      <c r="W2" s="75">
        <f>'Outdoor Climbs'!V3</f>
        <v>64</v>
      </c>
      <c r="X2" s="1"/>
      <c r="Y2" s="1"/>
      <c r="Z2" s="1"/>
    </row>
    <row r="3" spans="1:26">
      <c r="A3" s="20" t="s">
        <v>24</v>
      </c>
      <c r="B3" s="77" cm="1">
        <f t="array" aca="1" ref="B3" ca="1">_xlfn.IFS(B9="","",TRUE,B9/'Outdoor Climbs'!$V$3)</f>
        <v>3.125E-2</v>
      </c>
      <c r="C3" s="77" cm="1">
        <f t="array" aca="1" ref="C3" ca="1">_xlfn.IFS(C9="","",TRUE,C9/'Outdoor Climbs'!$V$3)</f>
        <v>0.109375</v>
      </c>
      <c r="D3" s="77" cm="1">
        <f t="array" aca="1" ref="D3" ca="1">_xlfn.IFS(D9="","",TRUE,D9/'Outdoor Climbs'!$V$3)</f>
        <v>1.5625E-2</v>
      </c>
      <c r="E3" s="77" cm="1">
        <f t="array" aca="1" ref="E3" ca="1">_xlfn.IFS(E9="","",TRUE,E9/'Outdoor Climbs'!$V$3)</f>
        <v>0.109375</v>
      </c>
      <c r="F3" s="77" cm="1">
        <f t="array" aca="1" ref="F3" ca="1">_xlfn.IFS(F9="","",TRUE,F9/'Outdoor Climbs'!$V$3)</f>
        <v>6.25E-2</v>
      </c>
      <c r="G3" s="77" cm="1">
        <f t="array" aca="1" ref="G3" ca="1">_xlfn.IFS(G9="","",TRUE,G9/'Outdoor Climbs'!$V$3)</f>
        <v>4.6875E-2</v>
      </c>
      <c r="H3" s="77" cm="1">
        <f t="array" aca="1" ref="H3" ca="1">_xlfn.IFS(H9="","",TRUE,H9/'Outdoor Climbs'!$V$3)</f>
        <v>6.25E-2</v>
      </c>
      <c r="I3" s="77" t="str" cm="1">
        <f t="array" aca="1" ref="I3" ca="1">_xlfn.IFS(I9="","",TRUE,I9/'Outdoor Climbs'!$V$3)</f>
        <v/>
      </c>
      <c r="J3" s="77" cm="1">
        <f t="array" aca="1" ref="J3" ca="1">_xlfn.IFS(J9="","",TRUE,J9/'Outdoor Climbs'!$V$3)</f>
        <v>4.6875E-2</v>
      </c>
      <c r="K3" s="77" t="str" cm="1">
        <f t="array" aca="1" ref="K3" ca="1">_xlfn.IFS(K9="","",TRUE,K9/'Outdoor Climbs'!$V$3)</f>
        <v/>
      </c>
      <c r="L3" s="77" cm="1">
        <f t="array" aca="1" ref="L3" ca="1">_xlfn.IFS(L9="","",TRUE,L9/'Outdoor Climbs'!$V$3)</f>
        <v>1.5625E-2</v>
      </c>
      <c r="M3" s="77" cm="1">
        <f t="array" aca="1" ref="M3" ca="1">_xlfn.IFS(M9="","",TRUE,M9/'Outdoor Climbs'!$V$3)</f>
        <v>7.8125E-2</v>
      </c>
      <c r="N3" s="77" cm="1">
        <f t="array" aca="1" ref="N3" ca="1">_xlfn.IFS(N9="","",TRUE,N9/'Outdoor Climbs'!$V$3)</f>
        <v>1.5625E-2</v>
      </c>
      <c r="O3" s="77" t="str" cm="1">
        <f t="array" aca="1" ref="O3" ca="1">_xlfn.IFS(O9="","",TRUE,O9/'Outdoor Climbs'!$V$3)</f>
        <v/>
      </c>
      <c r="P3" s="77" t="str" cm="1">
        <f t="array" aca="1" ref="P3" ca="1">_xlfn.IFS(P9="","",TRUE,P9/'Outdoor Climbs'!$V$3)</f>
        <v/>
      </c>
      <c r="Q3" s="77" t="str" cm="1">
        <f t="array" aca="1" ref="Q3" ca="1">_xlfn.IFS(Q9="","",TRUE,Q9/'Outdoor Climbs'!$V$3)</f>
        <v/>
      </c>
      <c r="R3" s="77" t="str" cm="1">
        <f t="array" aca="1" ref="R3" ca="1">_xlfn.IFS(R9="","",TRUE,R9/'Outdoor Climbs'!$V$3)</f>
        <v/>
      </c>
      <c r="S3" s="77" t="str" cm="1">
        <f t="array" aca="1" ref="S3" ca="1">_xlfn.IFS(S9="","",TRUE,S9/'Outdoor Climbs'!$V$3)</f>
        <v/>
      </c>
      <c r="T3" s="77" t="str" cm="1">
        <f t="array" aca="1" ref="T3" ca="1">_xlfn.IFS(T9="","",TRUE,T9/'Outdoor Climbs'!$V$3)</f>
        <v/>
      </c>
      <c r="U3" s="77" t="str" cm="1">
        <f t="array" aca="1" ref="U3" ca="1">_xlfn.IFS(U9="","",TRUE,U9/'Outdoor Climbs'!$V$3)</f>
        <v/>
      </c>
      <c r="V3" s="29">
        <f t="shared" ref="V3:V5" ca="1" si="0">W3/$W$2</f>
        <v>0.59375</v>
      </c>
      <c r="W3" s="30">
        <f t="shared" ref="W3:W5" ca="1" si="1">SUM(B9:U9)</f>
        <v>38</v>
      </c>
      <c r="X3" s="84"/>
      <c r="Y3" s="1"/>
      <c r="Z3" s="1"/>
    </row>
    <row r="4" spans="1:26">
      <c r="A4" s="54" t="s">
        <v>25</v>
      </c>
      <c r="B4" s="78" cm="1">
        <f t="array" aca="1" ref="B4" ca="1">_xlfn.IFS(B10="","",TRUE,B10/'Outdoor Climbs'!$V$3)</f>
        <v>1.5625E-2</v>
      </c>
      <c r="C4" s="78" cm="1">
        <f t="array" aca="1" ref="C4" ca="1">_xlfn.IFS(C10="","",TRUE,C10/'Outdoor Climbs'!$V$3)</f>
        <v>7.8125E-2</v>
      </c>
      <c r="D4" s="78" cm="1">
        <f t="array" aca="1" ref="D4" ca="1">_xlfn.IFS(D10="","",TRUE,D10/'Outdoor Climbs'!$V$3)</f>
        <v>1.5625E-2</v>
      </c>
      <c r="E4" s="78" cm="1">
        <f t="array" aca="1" ref="E4" ca="1">_xlfn.IFS(E10="","",TRUE,E10/'Outdoor Climbs'!$V$3)</f>
        <v>3.125E-2</v>
      </c>
      <c r="F4" s="78" cm="1">
        <f t="array" aca="1" ref="F4" ca="1">_xlfn.IFS(F10="","",TRUE,F10/'Outdoor Climbs'!$V$3)</f>
        <v>3.125E-2</v>
      </c>
      <c r="G4" s="78" t="str" cm="1">
        <f t="array" aca="1" ref="G4" ca="1">_xlfn.IFS(G10="","",TRUE,G10/'Outdoor Climbs'!$V$3)</f>
        <v/>
      </c>
      <c r="H4" s="78" t="str" cm="1">
        <f t="array" aca="1" ref="H4" ca="1">_xlfn.IFS(H10="","",TRUE,H10/'Outdoor Climbs'!$V$3)</f>
        <v/>
      </c>
      <c r="I4" s="78" t="str" cm="1">
        <f t="array" aca="1" ref="I4" ca="1">_xlfn.IFS(I10="","",TRUE,I10/'Outdoor Climbs'!$V$3)</f>
        <v/>
      </c>
      <c r="J4" s="78" cm="1">
        <f t="array" aca="1" ref="J4" ca="1">_xlfn.IFS(J10="","",TRUE,J10/'Outdoor Climbs'!$V$3)</f>
        <v>1.5625E-2</v>
      </c>
      <c r="K4" s="78" t="str" cm="1">
        <f t="array" aca="1" ref="K4" ca="1">_xlfn.IFS(K10="","",TRUE,K10/'Outdoor Climbs'!$V$3)</f>
        <v/>
      </c>
      <c r="L4" s="78" t="str" cm="1">
        <f t="array" aca="1" ref="L4" ca="1">_xlfn.IFS(L10="","",TRUE,L10/'Outdoor Climbs'!$V$3)</f>
        <v/>
      </c>
      <c r="M4" s="78" t="str" cm="1">
        <f t="array" aca="1" ref="M4" ca="1">_xlfn.IFS(M10="","",TRUE,M10/'Outdoor Climbs'!$V$3)</f>
        <v/>
      </c>
      <c r="N4" s="78" t="str" cm="1">
        <f t="array" aca="1" ref="N4" ca="1">_xlfn.IFS(N10="","",TRUE,N10/'Outdoor Climbs'!$V$3)</f>
        <v/>
      </c>
      <c r="O4" s="78" t="str" cm="1">
        <f t="array" aca="1" ref="O4" ca="1">_xlfn.IFS(O10="","",TRUE,O10/'Outdoor Climbs'!$V$3)</f>
        <v/>
      </c>
      <c r="P4" s="78" t="str" cm="1">
        <f t="array" aca="1" ref="P4" ca="1">_xlfn.IFS(P10="","",TRUE,P10/'Outdoor Climbs'!$V$3)</f>
        <v/>
      </c>
      <c r="Q4" s="78" t="str" cm="1">
        <f t="array" aca="1" ref="Q4" ca="1">_xlfn.IFS(Q10="","",TRUE,Q10/'Outdoor Climbs'!$V$3)</f>
        <v/>
      </c>
      <c r="R4" s="78" t="str" cm="1">
        <f t="array" aca="1" ref="R4" ca="1">_xlfn.IFS(R10="","",TRUE,R10/'Outdoor Climbs'!$V$3)</f>
        <v/>
      </c>
      <c r="S4" s="78" t="str" cm="1">
        <f t="array" aca="1" ref="S4" ca="1">_xlfn.IFS(S10="","",TRUE,S10/'Outdoor Climbs'!$V$3)</f>
        <v/>
      </c>
      <c r="T4" s="78" t="str" cm="1">
        <f t="array" aca="1" ref="T4" ca="1">_xlfn.IFS(T10="","",TRUE,T10/'Outdoor Climbs'!$V$3)</f>
        <v/>
      </c>
      <c r="U4" s="78" t="str" cm="1">
        <f t="array" aca="1" ref="U4" ca="1">_xlfn.IFS(U10="","",TRUE,U10/'Outdoor Climbs'!$V$3)</f>
        <v/>
      </c>
      <c r="V4" s="55">
        <f t="shared" ca="1" si="0"/>
        <v>0.1875</v>
      </c>
      <c r="W4" s="56">
        <f t="shared" ca="1" si="1"/>
        <v>12</v>
      </c>
      <c r="X4" s="1"/>
      <c r="Y4" s="1"/>
      <c r="Z4" s="1"/>
    </row>
    <row r="5" spans="1:26">
      <c r="A5" s="57" t="s">
        <v>26</v>
      </c>
      <c r="B5" s="79" cm="1">
        <f t="array" aca="1" ref="B5" ca="1">_xlfn.IFS(B11="","",TRUE,B11/'Outdoor Climbs'!$V$3)</f>
        <v>1.5625E-2</v>
      </c>
      <c r="C5" s="79" cm="1">
        <f t="array" aca="1" ref="C5" ca="1">_xlfn.IFS(C11="","",TRUE,C11/'Outdoor Climbs'!$V$3)</f>
        <v>6.25E-2</v>
      </c>
      <c r="D5" s="79" cm="1">
        <f t="array" aca="1" ref="D5" ca="1">_xlfn.IFS(D11="","",TRUE,D11/'Outdoor Climbs'!$V$3)</f>
        <v>1.5625E-2</v>
      </c>
      <c r="E5" s="79" t="str" cm="1">
        <f t="array" aca="1" ref="E5" ca="1">_xlfn.IFS(E11="","",TRUE,E11/'Outdoor Climbs'!$V$3)</f>
        <v/>
      </c>
      <c r="F5" s="79" t="str" cm="1">
        <f t="array" aca="1" ref="F5" ca="1">_xlfn.IFS(F11="","",TRUE,F11/'Outdoor Climbs'!$V$3)</f>
        <v/>
      </c>
      <c r="G5" s="79" t="str" cm="1">
        <f t="array" aca="1" ref="G5" ca="1">_xlfn.IFS(G11="","",TRUE,G11/'Outdoor Climbs'!$V$3)</f>
        <v/>
      </c>
      <c r="H5" s="79" t="str" cm="1">
        <f t="array" aca="1" ref="H5" ca="1">_xlfn.IFS(H11="","",TRUE,H11/'Outdoor Climbs'!$V$3)</f>
        <v/>
      </c>
      <c r="I5" s="79" t="str" cm="1">
        <f t="array" aca="1" ref="I5" ca="1">_xlfn.IFS(I11="","",TRUE,I11/'Outdoor Climbs'!$V$3)</f>
        <v/>
      </c>
      <c r="J5" s="79" t="str" cm="1">
        <f t="array" aca="1" ref="J5" ca="1">_xlfn.IFS(J11="","",TRUE,J11/'Outdoor Climbs'!$V$3)</f>
        <v/>
      </c>
      <c r="K5" s="79" t="str" cm="1">
        <f t="array" aca="1" ref="K5" ca="1">_xlfn.IFS(K11="","",TRUE,K11/'Outdoor Climbs'!$V$3)</f>
        <v/>
      </c>
      <c r="L5" s="79" t="str" cm="1">
        <f t="array" aca="1" ref="L5" ca="1">_xlfn.IFS(L11="","",TRUE,L11/'Outdoor Climbs'!$V$3)</f>
        <v/>
      </c>
      <c r="M5" s="79" t="str" cm="1">
        <f t="array" aca="1" ref="M5" ca="1">_xlfn.IFS(M11="","",TRUE,M11/'Outdoor Climbs'!$V$3)</f>
        <v/>
      </c>
      <c r="N5" s="79" t="str" cm="1">
        <f t="array" aca="1" ref="N5" ca="1">_xlfn.IFS(N11="","",TRUE,N11/'Outdoor Climbs'!$V$3)</f>
        <v/>
      </c>
      <c r="O5" s="79" t="str" cm="1">
        <f t="array" aca="1" ref="O5" ca="1">_xlfn.IFS(O11="","",TRUE,O11/'Outdoor Climbs'!$V$3)</f>
        <v/>
      </c>
      <c r="P5" s="79" t="str" cm="1">
        <f t="array" aca="1" ref="P5" ca="1">_xlfn.IFS(P11="","",TRUE,P11/'Outdoor Climbs'!$V$3)</f>
        <v/>
      </c>
      <c r="Q5" s="79" t="str" cm="1">
        <f t="array" aca="1" ref="Q5" ca="1">_xlfn.IFS(Q11="","",TRUE,Q11/'Outdoor Climbs'!$V$3)</f>
        <v/>
      </c>
      <c r="R5" s="79" t="str" cm="1">
        <f t="array" aca="1" ref="R5" ca="1">_xlfn.IFS(R11="","",TRUE,R11/'Outdoor Climbs'!$V$3)</f>
        <v/>
      </c>
      <c r="S5" s="79" t="str" cm="1">
        <f t="array" aca="1" ref="S5" ca="1">_xlfn.IFS(S11="","",TRUE,S11/'Outdoor Climbs'!$V$3)</f>
        <v/>
      </c>
      <c r="T5" s="79" t="str" cm="1">
        <f t="array" aca="1" ref="T5" ca="1">_xlfn.IFS(T11="","",TRUE,T11/'Outdoor Climbs'!$V$3)</f>
        <v/>
      </c>
      <c r="U5" s="79" t="str" cm="1">
        <f t="array" aca="1" ref="U5" ca="1">_xlfn.IFS(U11="","",TRUE,U11/'Outdoor Climbs'!$V$3)</f>
        <v/>
      </c>
      <c r="V5" s="58">
        <f t="shared" ca="1" si="0"/>
        <v>9.375E-2</v>
      </c>
      <c r="W5" s="59">
        <f t="shared" ca="1" si="1"/>
        <v>6</v>
      </c>
      <c r="X5" s="1"/>
      <c r="Y5" s="1"/>
      <c r="Z5" s="1"/>
    </row>
    <row r="6" spans="1:26">
      <c r="A6" s="60" t="s">
        <v>27</v>
      </c>
      <c r="B6" s="80" t="str" cm="1">
        <f t="array" ref="B6">_xlfn.IFS(B12="","",TRUE,B12/'Outdoor Climbs'!$V$3)</f>
        <v/>
      </c>
      <c r="C6" s="80" t="str" cm="1">
        <f t="array" ref="C6">_xlfn.IFS(C12="","",TRUE,C12/'Outdoor Climbs'!$V$3)</f>
        <v/>
      </c>
      <c r="D6" s="80" t="str" cm="1">
        <f t="array" ref="D6">_xlfn.IFS(D12="","",TRUE,D12/'Outdoor Climbs'!$V$3)</f>
        <v/>
      </c>
      <c r="E6" s="80" t="str" cm="1">
        <f t="array" ref="E6">_xlfn.IFS(E12="","",TRUE,E12/'Outdoor Climbs'!$V$3)</f>
        <v/>
      </c>
      <c r="F6" s="80" t="str" cm="1">
        <f t="array" ref="F6">_xlfn.IFS(F12="","",TRUE,F12/'Outdoor Climbs'!$V$3)</f>
        <v/>
      </c>
      <c r="G6" s="80" t="str" cm="1">
        <f t="array" ref="G6">_xlfn.IFS(G12="","",TRUE,G12/'Outdoor Climbs'!$V$3)</f>
        <v/>
      </c>
      <c r="H6" s="80" t="str" cm="1">
        <f t="array" ref="H6">_xlfn.IFS(H12="","",TRUE,H12/'Outdoor Climbs'!$V$3)</f>
        <v/>
      </c>
      <c r="I6" s="80" cm="1">
        <f t="array" ref="I6">_xlfn.IFS(I12="","",TRUE,I12/'Outdoor Climbs'!$V$3)</f>
        <v>3.125E-2</v>
      </c>
      <c r="J6" s="80" t="str" cm="1">
        <f t="array" ref="J6">_xlfn.IFS(J12="","",TRUE,J12/'Outdoor Climbs'!$V$3)</f>
        <v/>
      </c>
      <c r="K6" s="80" cm="1">
        <f t="array" ref="K6">_xlfn.IFS(K12="","",TRUE,K12/'Outdoor Climbs'!$V$3)</f>
        <v>1.5625E-2</v>
      </c>
      <c r="L6" s="80" cm="1">
        <f t="array" ref="L6">_xlfn.IFS(L12="","",TRUE,L12/'Outdoor Climbs'!$V$3)</f>
        <v>3.125E-2</v>
      </c>
      <c r="M6" s="80" cm="1">
        <f t="array" ref="M6">_xlfn.IFS(M12="","",TRUE,M12/'Outdoor Climbs'!$V$3)</f>
        <v>6.25E-2</v>
      </c>
      <c r="N6" s="80" cm="1">
        <f t="array" ref="N6">_xlfn.IFS(N12="","",TRUE,N12/'Outdoor Climbs'!$V$3)</f>
        <v>4.6875E-2</v>
      </c>
      <c r="O6" s="80" cm="1">
        <f t="array" ref="O6">_xlfn.IFS(O12="","",TRUE,O12/'Outdoor Climbs'!$V$3)</f>
        <v>3.125E-2</v>
      </c>
      <c r="P6" s="80" cm="1">
        <f t="array" ref="P6">_xlfn.IFS(P12="","",TRUE,P12/'Outdoor Climbs'!$V$3)</f>
        <v>7.8125E-2</v>
      </c>
      <c r="Q6" s="80" cm="1">
        <f t="array" ref="Q6">_xlfn.IFS(Q12="","",TRUE,Q12/'Outdoor Climbs'!$V$3)</f>
        <v>3.125E-2</v>
      </c>
      <c r="R6" s="80" cm="1">
        <f t="array" ref="R6">_xlfn.IFS(R12="","",TRUE,R12/'Outdoor Climbs'!$V$3)</f>
        <v>1.5625E-2</v>
      </c>
      <c r="S6" s="80" t="str" cm="1">
        <f t="array" ref="S6">_xlfn.IFS(S12="","",TRUE,S12/'Outdoor Climbs'!$V$3)</f>
        <v/>
      </c>
      <c r="T6" s="80" t="str" cm="1">
        <f t="array" ref="T6">_xlfn.IFS(T12="","",TRUE,T12/'Outdoor Climbs'!$V$3)</f>
        <v/>
      </c>
      <c r="U6" s="80" t="str" cm="1">
        <f t="array" ref="U6">_xlfn.IFS(U12="","",TRUE,U12/'Outdoor Climbs'!$V$3)</f>
        <v/>
      </c>
      <c r="V6" s="61">
        <f>SUM(B6:U6)</f>
        <v>0.34375</v>
      </c>
      <c r="W6" s="62">
        <f>'Outdoor Climbs'!V14</f>
        <v>22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1" t="s">
        <v>28</v>
      </c>
      <c r="B8" s="25">
        <f>'Outdoor Climbs'!B3</f>
        <v>4</v>
      </c>
      <c r="C8" s="25">
        <f>'Outdoor Climbs'!C3</f>
        <v>10</v>
      </c>
      <c r="D8" s="25">
        <f>'Outdoor Climbs'!D3</f>
        <v>1</v>
      </c>
      <c r="E8" s="25">
        <f>'Outdoor Climbs'!E3</f>
        <v>10</v>
      </c>
      <c r="F8" s="25">
        <f>'Outdoor Climbs'!F3</f>
        <v>5</v>
      </c>
      <c r="G8" s="25">
        <f>'Outdoor Climbs'!G3</f>
        <v>5</v>
      </c>
      <c r="H8" s="25">
        <f>'Outdoor Climbs'!H3</f>
        <v>5</v>
      </c>
      <c r="I8" s="25">
        <f>'Outdoor Climbs'!I3</f>
        <v>3</v>
      </c>
      <c r="J8" s="25">
        <f>'Outdoor Climbs'!J3</f>
        <v>3</v>
      </c>
      <c r="K8" s="25">
        <f>'Outdoor Climbs'!K3</f>
        <v>1</v>
      </c>
      <c r="L8" s="25">
        <f>'Outdoor Climbs'!L3</f>
        <v>3</v>
      </c>
      <c r="M8" s="25">
        <f>'Outdoor Climbs'!M3</f>
        <v>10</v>
      </c>
      <c r="N8" s="25">
        <f>'Outdoor Climbs'!N3</f>
        <v>3</v>
      </c>
      <c r="O8" s="25" t="str">
        <f>'Outdoor Climbs'!O3</f>
        <v/>
      </c>
      <c r="P8" s="25">
        <f>'Outdoor Climbs'!P3</f>
        <v>1</v>
      </c>
      <c r="Q8" s="25" t="str">
        <f>'Outdoor Climbs'!Q3</f>
        <v/>
      </c>
      <c r="R8" s="25" t="str">
        <f>'Outdoor Climbs'!R3</f>
        <v/>
      </c>
      <c r="S8" s="25" t="str">
        <f>'Outdoor Climbs'!S3</f>
        <v/>
      </c>
      <c r="T8" s="25" t="str">
        <f>'Outdoor Climbs'!T3</f>
        <v/>
      </c>
      <c r="U8" s="25" t="str">
        <f>'Outdoor Climbs'!U3</f>
        <v/>
      </c>
      <c r="V8" s="1"/>
      <c r="W8" s="1"/>
      <c r="X8" s="1"/>
      <c r="Y8" s="1"/>
      <c r="Z8" s="1"/>
    </row>
    <row r="9" spans="1:26">
      <c r="A9" s="22" t="s">
        <v>25</v>
      </c>
      <c r="B9" s="26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26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26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26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26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26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26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26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26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26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26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26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26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26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26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26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26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26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26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26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3" t="s">
        <v>29</v>
      </c>
      <c r="B10" s="27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27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27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27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27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27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27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27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27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27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27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27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27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27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27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27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27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27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27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27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65" t="s">
        <v>30</v>
      </c>
      <c r="B11" s="66">
        <f ca="1">IFERROR(__xludf.DUMMYFUNCTION("if(SUM(ARRAYFORMULA(IF(REGEXMATCH('Outdoor Climbs'!B$4:B$13, ""🦅""), 1, 0)))=0,"""",SUM(ARRAYFORMULA(IF(REGEXMATCH('Outdoor Climbs'!B$4:B$13, ""🦅""), 1, 0))))"),1)</f>
        <v>1</v>
      </c>
      <c r="C11" s="66">
        <f ca="1">IFERROR(__xludf.DUMMYFUNCTION("if(SUM(ARRAYFORMULA(IF(REGEXMATCH('Outdoor Climbs'!C$4:C$13, ""🦅""), 1, 0)))=0,"""",SUM(ARRAYFORMULA(IF(REGEXMATCH('Outdoor Climbs'!C$4:C$13, ""🦅""), 1, 0))))"),4)</f>
        <v>4</v>
      </c>
      <c r="D11" s="66">
        <f ca="1">IFERROR(__xludf.DUMMYFUNCTION("if(SUM(ARRAYFORMULA(IF(REGEXMATCH('Outdoor Climbs'!D$4:D$13, ""🦅""), 1, 0)))=0,"""",SUM(ARRAYFORMULA(IF(REGEXMATCH('Outdoor Climbs'!D$4:D$13, ""🦅""), 1, 0))))"),1)</f>
        <v>1</v>
      </c>
      <c r="E11" s="66" t="str">
        <f ca="1">IFERROR(__xludf.DUMMYFUNCTION("if(SUM(ARRAYFORMULA(IF(REGEXMATCH('Outdoor Climbs'!E$4:E$13, ""🦅""), 1, 0)))=0,"""",SUM(ARRAYFORMULA(IF(REGEXMATCH('Outdoor Climbs'!E$4:E$13, ""🦅""), 1, 0))))"),"")</f>
        <v/>
      </c>
      <c r="F11" s="66" t="str">
        <f ca="1">IFERROR(__xludf.DUMMYFUNCTION("if(SUM(ARRAYFORMULA(IF(REGEXMATCH('Outdoor Climbs'!F$4:F$13, ""🦅""), 1, 0)))=0,"""",SUM(ARRAYFORMULA(IF(REGEXMATCH('Outdoor Climbs'!F$4:F$13, ""🦅""), 1, 0))))"),"")</f>
        <v/>
      </c>
      <c r="G11" s="66" t="str">
        <f ca="1">IFERROR(__xludf.DUMMYFUNCTION("if(SUM(ARRAYFORMULA(IF(REGEXMATCH('Outdoor Climbs'!G$4:G$13, ""🦅""), 1, 0)))=0,"""",SUM(ARRAYFORMULA(IF(REGEXMATCH('Outdoor Climbs'!G$4:G$13, ""🦅""), 1, 0))))"),"")</f>
        <v/>
      </c>
      <c r="H11" s="66" t="str">
        <f ca="1">IFERROR(__xludf.DUMMYFUNCTION("if(SUM(ARRAYFORMULA(IF(REGEXMATCH('Outdoor Climbs'!H$4:H$13, ""🦅""), 1, 0)))=0,"""",SUM(ARRAYFORMULA(IF(REGEXMATCH('Outdoor Climbs'!H$4:H$13, ""🦅""), 1, 0))))"),"")</f>
        <v/>
      </c>
      <c r="I11" s="66" t="str">
        <f ca="1">IFERROR(__xludf.DUMMYFUNCTION("if(SUM(ARRAYFORMULA(IF(REGEXMATCH('Outdoor Climbs'!I$4:I$13, ""🦅""), 1, 0)))=0,"""",SUM(ARRAYFORMULA(IF(REGEXMATCH('Outdoor Climbs'!I$4:I$13, ""🦅""), 1, 0))))"),"")</f>
        <v/>
      </c>
      <c r="J11" s="66" t="str">
        <f ca="1">IFERROR(__xludf.DUMMYFUNCTION("if(SUM(ARRAYFORMULA(IF(REGEXMATCH('Outdoor Climbs'!J$4:J$13, ""🦅""), 1, 0)))=0,"""",SUM(ARRAYFORMULA(IF(REGEXMATCH('Outdoor Climbs'!J$4:J$13, ""🦅""), 1, 0))))"),"")</f>
        <v/>
      </c>
      <c r="K11" s="66" t="str">
        <f ca="1">IFERROR(__xludf.DUMMYFUNCTION("if(SUM(ARRAYFORMULA(IF(REGEXMATCH('Outdoor Climbs'!K$4:K$13, ""🦅""), 1, 0)))=0,"""",SUM(ARRAYFORMULA(IF(REGEXMATCH('Outdoor Climbs'!K$4:K$13, ""🦅""), 1, 0))))"),"")</f>
        <v/>
      </c>
      <c r="L11" s="66" t="str">
        <f ca="1">IFERROR(__xludf.DUMMYFUNCTION("if(SUM(ARRAYFORMULA(IF(REGEXMATCH('Outdoor Climbs'!L$4:L$13, ""🦅""), 1, 0)))=0,"""",SUM(ARRAYFORMULA(IF(REGEXMATCH('Outdoor Climbs'!L$4:L$13, ""🦅""), 1, 0))))"),"")</f>
        <v/>
      </c>
      <c r="M11" s="66" t="str">
        <f ca="1">IFERROR(__xludf.DUMMYFUNCTION("if(SUM(ARRAYFORMULA(IF(REGEXMATCH('Outdoor Climbs'!M$4:M$13, ""🦅""), 1, 0)))=0,"""",SUM(ARRAYFORMULA(IF(REGEXMATCH('Outdoor Climbs'!M$4:M$13, ""🦅""), 1, 0))))"),"")</f>
        <v/>
      </c>
      <c r="N11" s="66" t="str">
        <f ca="1">IFERROR(__xludf.DUMMYFUNCTION("if(SUM(ARRAYFORMULA(IF(REGEXMATCH('Outdoor Climbs'!N$4:N$13, ""🦅""), 1, 0)))=0,"""",SUM(ARRAYFORMULA(IF(REGEXMATCH('Outdoor Climbs'!N$4:N$13, ""🦅""), 1, 0))))"),"")</f>
        <v/>
      </c>
      <c r="O11" s="66" t="str">
        <f ca="1">IFERROR(__xludf.DUMMYFUNCTION("if(SUM(ARRAYFORMULA(IF(REGEXMATCH('Outdoor Climbs'!O$4:O$13, ""🦅""), 1, 0)))=0,"""",SUM(ARRAYFORMULA(IF(REGEXMATCH('Outdoor Climbs'!O$4:O$13, ""🦅""), 1, 0))))"),"")</f>
        <v/>
      </c>
      <c r="P11" s="66" t="str">
        <f ca="1">IFERROR(__xludf.DUMMYFUNCTION("if(SUM(ARRAYFORMULA(IF(REGEXMATCH('Outdoor Climbs'!P$4:P$13, ""🦅""), 1, 0)))=0,"""",SUM(ARRAYFORMULA(IF(REGEXMATCH('Outdoor Climbs'!P$4:P$13, ""🦅""), 1, 0))))"),"")</f>
        <v/>
      </c>
      <c r="Q11" s="66" t="str">
        <f ca="1">IFERROR(__xludf.DUMMYFUNCTION("if(SUM(ARRAYFORMULA(IF(REGEXMATCH('Outdoor Climbs'!Q$4:Q$13, ""🦅""), 1, 0)))=0,"""",SUM(ARRAYFORMULA(IF(REGEXMATCH('Outdoor Climbs'!Q$4:Q$13, ""🦅""), 1, 0))))"),"")</f>
        <v/>
      </c>
      <c r="R11" s="66" t="str">
        <f ca="1">IFERROR(__xludf.DUMMYFUNCTION("if(SUM(ARRAYFORMULA(IF(REGEXMATCH('Outdoor Climbs'!R$4:R$13, ""🦅""), 1, 0)))=0,"""",SUM(ARRAYFORMULA(IF(REGEXMATCH('Outdoor Climbs'!R$4:R$13, ""🦅""), 1, 0))))"),"")</f>
        <v/>
      </c>
      <c r="S11" s="66" t="str">
        <f ca="1">IFERROR(__xludf.DUMMYFUNCTION("if(SUM(ARRAYFORMULA(IF(REGEXMATCH('Outdoor Climbs'!S$4:S$13, ""🦅""), 1, 0)))=0,"""",SUM(ARRAYFORMULA(IF(REGEXMATCH('Outdoor Climbs'!S$4:S$13, ""🦅""), 1, 0))))"),"")</f>
        <v/>
      </c>
      <c r="T11" s="66" t="str">
        <f ca="1">IFERROR(__xludf.DUMMYFUNCTION("if(SUM(ARRAYFORMULA(IF(REGEXMATCH('Outdoor Climbs'!T$4:T$13, ""🦅""), 1, 0)))=0,"""",SUM(ARRAYFORMULA(IF(REGEXMATCH('Outdoor Climbs'!T$4:T$13, ""🦅""), 1, 0))))"),"")</f>
        <v/>
      </c>
      <c r="U11" s="66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4" t="s">
        <v>31</v>
      </c>
      <c r="B12" s="63" t="str">
        <f>'Outdoor Climbs'!B14</f>
        <v/>
      </c>
      <c r="C12" s="63" t="str">
        <f>'Outdoor Climbs'!C14</f>
        <v/>
      </c>
      <c r="D12" s="63" t="str">
        <f>'Outdoor Climbs'!D14</f>
        <v/>
      </c>
      <c r="E12" s="63" t="str">
        <f>'Outdoor Climbs'!E14</f>
        <v/>
      </c>
      <c r="F12" s="63" t="str">
        <f>'Outdoor Climbs'!F14</f>
        <v/>
      </c>
      <c r="G12" s="63" t="str">
        <f>'Outdoor Climbs'!G14</f>
        <v/>
      </c>
      <c r="H12" s="63" t="str">
        <f>'Outdoor Climbs'!H14</f>
        <v/>
      </c>
      <c r="I12" s="63">
        <f>'Outdoor Climbs'!I14</f>
        <v>2</v>
      </c>
      <c r="J12" s="63" t="str">
        <f>'Outdoor Climbs'!J14</f>
        <v/>
      </c>
      <c r="K12" s="63">
        <f>'Outdoor Climbs'!K14</f>
        <v>1</v>
      </c>
      <c r="L12" s="63">
        <f>'Outdoor Climbs'!L14</f>
        <v>2</v>
      </c>
      <c r="M12" s="63">
        <f>'Outdoor Climbs'!M14</f>
        <v>4</v>
      </c>
      <c r="N12" s="63">
        <f>'Outdoor Climbs'!N14</f>
        <v>3</v>
      </c>
      <c r="O12" s="63">
        <f>'Outdoor Climbs'!O14</f>
        <v>2</v>
      </c>
      <c r="P12" s="63">
        <f>'Outdoor Climbs'!P14</f>
        <v>5</v>
      </c>
      <c r="Q12" s="63">
        <f>'Outdoor Climbs'!Q14</f>
        <v>2</v>
      </c>
      <c r="R12" s="63">
        <f>'Outdoor Climbs'!R14</f>
        <v>1</v>
      </c>
      <c r="S12" s="63" t="str">
        <f>'Outdoor Climbs'!S14</f>
        <v/>
      </c>
      <c r="T12" s="63" t="str">
        <f>'Outdoor Climbs'!T14</f>
        <v/>
      </c>
      <c r="U12" s="63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C11" sqref="C11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35" customWidth="1"/>
    <col min="24" max="24" width="12" style="35" bestFit="1" customWidth="1"/>
    <col min="25" max="25" width="9.33203125" style="35" customWidth="1"/>
    <col min="26" max="32" width="11.6640625" style="35" customWidth="1"/>
    <col min="33" max="16384" width="11.1640625" style="35"/>
  </cols>
  <sheetData>
    <row r="1" spans="1:32" ht="15" customHeight="1">
      <c r="A1" s="37" t="s">
        <v>38</v>
      </c>
      <c r="B1" s="31" t="s">
        <v>39</v>
      </c>
      <c r="C1" s="38" t="s">
        <v>40</v>
      </c>
    </row>
    <row r="2" spans="1:32" ht="15.75" customHeight="1">
      <c r="A2" s="49" t="s">
        <v>33</v>
      </c>
      <c r="B2" s="50" t="s">
        <v>1</v>
      </c>
      <c r="C2" s="51" t="s">
        <v>2</v>
      </c>
      <c r="D2" s="51" t="s">
        <v>3</v>
      </c>
      <c r="E2" s="51" t="s">
        <v>4</v>
      </c>
      <c r="F2" s="51" t="s">
        <v>5</v>
      </c>
      <c r="G2" s="51" t="s">
        <v>6</v>
      </c>
      <c r="H2" s="51" t="s">
        <v>7</v>
      </c>
      <c r="I2" s="51" t="s">
        <v>8</v>
      </c>
      <c r="J2" s="51" t="s">
        <v>9</v>
      </c>
      <c r="K2" s="51" t="s">
        <v>10</v>
      </c>
      <c r="L2" s="51" t="s">
        <v>11</v>
      </c>
      <c r="M2" s="51" t="s">
        <v>12</v>
      </c>
      <c r="N2" s="51" t="s">
        <v>13</v>
      </c>
      <c r="O2" s="52" t="s">
        <v>14</v>
      </c>
      <c r="P2" s="51" t="s">
        <v>15</v>
      </c>
      <c r="Q2" s="51" t="s">
        <v>16</v>
      </c>
      <c r="R2" s="51" t="s">
        <v>17</v>
      </c>
      <c r="S2" s="51" t="s">
        <v>18</v>
      </c>
      <c r="T2" s="53" t="s">
        <v>19</v>
      </c>
      <c r="U2" s="51" t="s">
        <v>20</v>
      </c>
      <c r="V2" s="51" t="s">
        <v>21</v>
      </c>
      <c r="W2" s="33"/>
      <c r="X2" s="69" t="s">
        <v>34</v>
      </c>
      <c r="Y2" s="69" t="s">
        <v>35</v>
      </c>
      <c r="Z2" s="33"/>
      <c r="AA2" s="33"/>
      <c r="AB2" s="33"/>
      <c r="AC2" s="33"/>
      <c r="AD2" s="33"/>
      <c r="AE2" s="33"/>
      <c r="AF2" s="33"/>
    </row>
    <row r="3" spans="1:32" ht="15.75" customHeight="1">
      <c r="A3" s="45" t="s">
        <v>23</v>
      </c>
      <c r="B3" s="46">
        <f>IF(COUNTIF(B4:B13,"?*")=0,"",COUNTIF(B4:B13,"?*"))</f>
        <v>4</v>
      </c>
      <c r="C3" s="46">
        <f t="shared" ref="C3:U3" si="0">IF(COUNTIF(C4:C13,"?*")=0,"",COUNTIF(C4:C13,"?*"))</f>
        <v>10</v>
      </c>
      <c r="D3" s="46">
        <f t="shared" si="0"/>
        <v>1</v>
      </c>
      <c r="E3" s="46">
        <f t="shared" si="0"/>
        <v>10</v>
      </c>
      <c r="F3" s="46">
        <f t="shared" si="0"/>
        <v>5</v>
      </c>
      <c r="G3" s="46">
        <f t="shared" si="0"/>
        <v>5</v>
      </c>
      <c r="H3" s="46">
        <f t="shared" si="0"/>
        <v>5</v>
      </c>
      <c r="I3" s="46">
        <f t="shared" si="0"/>
        <v>3</v>
      </c>
      <c r="J3" s="46">
        <f t="shared" si="0"/>
        <v>3</v>
      </c>
      <c r="K3" s="46">
        <f t="shared" si="0"/>
        <v>1</v>
      </c>
      <c r="L3" s="46">
        <f t="shared" si="0"/>
        <v>3</v>
      </c>
      <c r="M3" s="47">
        <f t="shared" si="0"/>
        <v>10</v>
      </c>
      <c r="N3" s="46">
        <f t="shared" si="0"/>
        <v>3</v>
      </c>
      <c r="O3" s="47" t="str">
        <f t="shared" si="0"/>
        <v/>
      </c>
      <c r="P3" s="46">
        <f t="shared" si="0"/>
        <v>1</v>
      </c>
      <c r="Q3" s="46" t="str">
        <f t="shared" si="0"/>
        <v/>
      </c>
      <c r="R3" s="47" t="str">
        <f t="shared" si="0"/>
        <v/>
      </c>
      <c r="S3" s="46" t="str">
        <f t="shared" si="0"/>
        <v/>
      </c>
      <c r="T3" s="48" t="str">
        <f t="shared" si="0"/>
        <v/>
      </c>
      <c r="U3" s="46" t="str">
        <f t="shared" si="0"/>
        <v/>
      </c>
      <c r="V3" s="46">
        <f t="shared" ref="V3" si="1">SUM(B3:T3)</f>
        <v>64</v>
      </c>
      <c r="W3" s="33"/>
      <c r="X3" s="70" t="s">
        <v>36</v>
      </c>
      <c r="Y3" s="70">
        <v>0</v>
      </c>
      <c r="Z3" s="33"/>
      <c r="AA3" s="33"/>
      <c r="AB3" s="33"/>
      <c r="AC3" s="33"/>
      <c r="AD3" s="33"/>
      <c r="AE3" s="33"/>
      <c r="AF3" s="33"/>
    </row>
    <row r="4" spans="1:32" ht="15.75" customHeight="1">
      <c r="B4" s="42" t="str">
        <f>IF('Send Data'!C2=0,"",'Send Data'!C2)</f>
        <v>Carrots🪖</v>
      </c>
      <c r="C4" s="42" t="str">
        <f>IF('Send Data'!G2=0,"",'Send Data'!G2)</f>
        <v>Brussel Sprouts🦅</v>
      </c>
      <c r="D4" s="42" t="str">
        <f>IF('Send Data'!K2=0,"",'Send Data'!K2)</f>
        <v>Animal Crossing🦅</v>
      </c>
      <c r="E4" s="42" t="str">
        <f>IF('Send Data'!C9=0,"",'Send Data'!C9)</f>
        <v>Doppelganger🪖</v>
      </c>
      <c r="F4" s="42" t="e">
        <f>IF('Send Data'!#REF!=0,"",'Send Data'!#REF!)</f>
        <v>#REF!</v>
      </c>
      <c r="G4" s="42" t="str">
        <f>IF('Send Data'!K6=0,"",'Send Data'!K6)</f>
        <v>Burnout🪖</v>
      </c>
      <c r="H4" s="42" t="str">
        <f>IF('Send Data'!C23=0,"",'Send Data'!C23)</f>
        <v>Big Alternative🪖</v>
      </c>
      <c r="I4" s="42" t="e">
        <f>IF('Send Data'!#REF!=0,"",'Send Data'!#REF!)</f>
        <v>#REF!</v>
      </c>
      <c r="J4" s="42" t="str">
        <f>IF('Send Data'!K14=0,"",'Send Data'!K14)</f>
        <v>Blair Witch Arete🪖</v>
      </c>
      <c r="K4" s="42" t="str">
        <f>IF('Send Data'!C31=0,"",'Send Data'!C31)</f>
        <v>Ghost</v>
      </c>
      <c r="L4" s="42" t="e">
        <f>IF('Send Data'!#REF!=0,"",'Send Data'!#REF!)</f>
        <v>#REF!</v>
      </c>
      <c r="M4" s="42" t="str">
        <f>IF('Send Data'!K20=0,"",'Send Data'!K20)</f>
        <v>Return to Burn🪖</v>
      </c>
      <c r="N4" s="42" t="str">
        <f>IF('Send Data'!C35=0,"",'Send Data'!C35)</f>
        <v>Mastodon🪖</v>
      </c>
      <c r="O4" s="42" t="e">
        <f>IF('Send Data'!#REF!=0,"",'Send Data'!#REF!)</f>
        <v>#REF!</v>
      </c>
      <c r="P4" s="42" t="str">
        <f>IF('Send Data'!K35=0,"",'Send Data'!K35)</f>
        <v>Consolation Prize</v>
      </c>
      <c r="Q4" s="42" t="str">
        <f>IF('Send Data'!C41=0,"",'Send Data'!C41)</f>
        <v/>
      </c>
      <c r="R4" s="42" t="e">
        <f>IF('Send Data'!#REF!=0,"",'Send Data'!#REF!)</f>
        <v>#REF!</v>
      </c>
      <c r="S4" s="42" t="str">
        <f>IF('Send Data'!K41=0,"",'Send Data'!K41)</f>
        <v/>
      </c>
      <c r="T4" s="42" t="str">
        <f>IF('Send Data'!C45=0,"",'Send Data'!C45)</f>
        <v/>
      </c>
      <c r="U4" s="42" t="e">
        <f>IF('Send Data'!#REF!=0,"",'Send Data'!#REF!)</f>
        <v>#REF!</v>
      </c>
      <c r="V4" s="32"/>
      <c r="W4" s="33"/>
      <c r="X4" s="70" t="s">
        <v>37</v>
      </c>
      <c r="Y4" s="70">
        <v>0</v>
      </c>
      <c r="Z4" s="33"/>
      <c r="AA4" s="33"/>
      <c r="AB4" s="33"/>
      <c r="AC4" s="33"/>
      <c r="AD4" s="33"/>
      <c r="AE4" s="33"/>
      <c r="AF4" s="33"/>
    </row>
    <row r="5" spans="1:32" ht="15.75" customHeight="1">
      <c r="A5" s="39"/>
      <c r="B5" s="41" t="str">
        <f>IF('Send Data'!C3=0,"",'Send Data'!C3)</f>
        <v>Lean on Me🦅</v>
      </c>
      <c r="C5" s="41" t="str">
        <f>IF('Send Data'!G3=0,"",'Send Data'!G3)</f>
        <v>Cauliflower🦅</v>
      </c>
      <c r="D5" s="41" t="str">
        <f>IF('Send Data'!K3=0,"",'Send Data'!K3)</f>
        <v/>
      </c>
      <c r="E5" s="41" t="str">
        <f>IF('Send Data'!C10=0,"",'Send Data'!C10)</f>
        <v>Peas🪖</v>
      </c>
      <c r="F5" s="41" t="str">
        <f>IF('Send Data'!G14=0,"",'Send Data'!G14)</f>
        <v>not yet named🪖</v>
      </c>
      <c r="G5" s="41" t="str">
        <f>IF('Send Data'!K7=0,"",'Send Data'!K7)</f>
        <v>Tree Hugger🪖</v>
      </c>
      <c r="H5" s="41" t="str">
        <f>IF('Send Data'!C24=0,"",'Send Data'!C24)</f>
        <v>Blair Witch Stand🪖</v>
      </c>
      <c r="I5" s="41" t="str">
        <f>IF('Send Data'!G25=0,"",'Send Data'!G25)</f>
        <v>Moby</v>
      </c>
      <c r="J5" s="41" t="str">
        <f>IF('Send Data'!K15=0,"",'Send Data'!K15)</f>
        <v>Easy consolation prize🪖</v>
      </c>
      <c r="K5" s="41" t="str">
        <f>IF('Send Data'!C32=0,"",'Send Data'!C32)</f>
        <v/>
      </c>
      <c r="L5" s="41" t="str">
        <f>IF('Send Data'!G31=0,"",'Send Data'!G31)</f>
        <v>Leftodon</v>
      </c>
      <c r="M5" s="41" t="str">
        <f>IF('Send Data'!K21=0,"",'Send Data'!K21)</f>
        <v>Birds of a Feather</v>
      </c>
      <c r="N5" s="41" t="str">
        <f>IF('Send Data'!C36=0,"",'Send Data'!C36)</f>
        <v>Big Bad Wolf</v>
      </c>
      <c r="O5" s="41" t="str">
        <f>IF('Send Data'!G36=0,"",'Send Data'!G36)</f>
        <v/>
      </c>
      <c r="P5" s="41" t="str">
        <f>IF('Send Data'!K39=0,"",'Send Data'!K39)</f>
        <v/>
      </c>
      <c r="Q5" s="41" t="str">
        <f>IF('Send Data'!C42=0,"",'Send Data'!C42)</f>
        <v/>
      </c>
      <c r="R5" s="41" t="str">
        <f>IF('Send Data'!G41=0,"",'Send Data'!G41)</f>
        <v/>
      </c>
      <c r="S5" s="41" t="e">
        <f>IF('Send Data'!#REF!=0,"",'Send Data'!#REF!)</f>
        <v>#REF!</v>
      </c>
      <c r="T5" s="41" t="str">
        <f>IF('Send Data'!C46=0,"",'Send Data'!C46)</f>
        <v/>
      </c>
      <c r="U5" s="41" t="str">
        <f>IF('Send Data'!G44=0,"",'Send Data'!G44)</f>
        <v/>
      </c>
      <c r="V5" s="36"/>
      <c r="W5" s="33"/>
      <c r="X5" s="71" t="s">
        <v>1</v>
      </c>
      <c r="Y5" s="70">
        <v>0</v>
      </c>
      <c r="Z5" s="33"/>
      <c r="AA5" s="33"/>
      <c r="AB5" s="33"/>
      <c r="AC5" s="33"/>
      <c r="AD5" s="33"/>
      <c r="AE5" s="33"/>
      <c r="AF5" s="33"/>
    </row>
    <row r="6" spans="1:32" ht="15.75" customHeight="1">
      <c r="A6" s="39"/>
      <c r="B6" s="41" t="str">
        <f>IF('Send Data'!C4=0,"",'Send Data'!C4)</f>
        <v>Hal 2000🦅</v>
      </c>
      <c r="C6" s="41" t="str">
        <f>IF('Send Data'!G4=0,"",'Send Data'!G4)</f>
        <v>Broccoli🦅</v>
      </c>
      <c r="D6" s="41" t="str">
        <f>IF('Send Data'!K4=0,"",'Send Data'!K4)</f>
        <v/>
      </c>
      <c r="E6" s="41" t="str">
        <f>IF('Send Data'!C11=0,"",'Send Data'!C11)</f>
        <v>Warm-up Roof⚡</v>
      </c>
      <c r="F6" s="41" t="str">
        <f>IF('Send Data'!G15=0,"",'Send Data'!G15)</f>
        <v>Upper Traverse⚡️</v>
      </c>
      <c r="G6" s="41" t="str">
        <f>IF('Send Data'!K8=0,"",'Send Data'!K8)</f>
        <v>Dan's Line</v>
      </c>
      <c r="H6" s="41" t="str">
        <f>IF('Send Data'!C25=0,"",'Send Data'!C25)</f>
        <v>Roxbury Slanted Topout</v>
      </c>
      <c r="I6" s="41" t="str">
        <f>IF('Send Data'!G26=0,"",'Send Data'!G26)</f>
        <v>Afterthought🪖</v>
      </c>
      <c r="J6" s="41" t="str">
        <f>IF('Send Data'!K16=0,"",'Send Data'!K16)</f>
        <v>Vice Lane⚡️</v>
      </c>
      <c r="K6" s="41" t="str">
        <f>IF('Send Data'!C33=0,"",'Send Data'!C33)</f>
        <v/>
      </c>
      <c r="L6" s="41" t="str">
        <f>IF('Send Data'!G32=0,"",'Send Data'!G32)</f>
        <v>Feel the Bern🪖</v>
      </c>
      <c r="M6" s="41" t="str">
        <f>IF('Send Data'!K22=0,"",'Send Data'!K22)</f>
        <v>Frankenstein's Lab🪖</v>
      </c>
      <c r="N6" s="41" t="str">
        <f>IF('Send Data'!C37=0,"",'Send Data'!C37)</f>
        <v>Circle K🪖</v>
      </c>
      <c r="O6" s="41" t="str">
        <f>IF('Send Data'!G39=0,"",'Send Data'!G39)</f>
        <v/>
      </c>
      <c r="P6" s="41" t="e">
        <f>IF('Send Data'!#REF!=0,"",'Send Data'!#REF!)</f>
        <v>#REF!</v>
      </c>
      <c r="Q6" s="41" t="str">
        <f>IF('Send Data'!C43=0,"",'Send Data'!C43)</f>
        <v/>
      </c>
      <c r="R6" s="41" t="str">
        <f>IF('Send Data'!G43=0,"",'Send Data'!G43)</f>
        <v/>
      </c>
      <c r="S6" s="41" t="e">
        <f>IF('Send Data'!#REF!=0,"",'Send Data'!#REF!)</f>
        <v>#REF!</v>
      </c>
      <c r="T6" s="41" t="str">
        <f>IF('Send Data'!C47=0,"",'Send Data'!C47)</f>
        <v/>
      </c>
      <c r="U6" s="41" t="str">
        <f>IF('Send Data'!G47=0,"",'Send Data'!G47)</f>
        <v/>
      </c>
      <c r="V6" s="36"/>
      <c r="W6" s="33"/>
      <c r="X6" s="70" t="s">
        <v>2</v>
      </c>
      <c r="Y6" s="70">
        <v>1</v>
      </c>
      <c r="Z6" s="33"/>
      <c r="AA6" s="33"/>
      <c r="AB6" s="33"/>
      <c r="AC6" s="33"/>
      <c r="AD6" s="33"/>
      <c r="AE6" s="33"/>
      <c r="AF6" s="33"/>
    </row>
    <row r="7" spans="1:32" ht="15.75" customHeight="1">
      <c r="A7" s="40"/>
      <c r="B7" s="41" t="str">
        <f>IF('Send Data'!C5=0,"",'Send Data'!C5)</f>
        <v>Cracked Ice🦅</v>
      </c>
      <c r="C7" s="41" t="str">
        <f>IF('Send Data'!G5=0,"",'Send Data'!G5)</f>
        <v>Potatoes🪖</v>
      </c>
      <c r="D7" s="41" t="str">
        <f>IF('Send Data'!K5=0,"",'Send Data'!K5)</f>
        <v/>
      </c>
      <c r="E7" s="41" t="str">
        <f>IF('Send Data'!C12=0,"",'Send Data'!C12)</f>
        <v>Blunt⚡</v>
      </c>
      <c r="F7" s="41" t="str">
        <f>IF('Send Data'!G16=0,"",'Send Data'!G16)</f>
        <v>Balance Bulge Arete🪖</v>
      </c>
      <c r="G7" s="41" t="str">
        <f>IF('Send Data'!K9=0,"",'Send Data'!K9)</f>
        <v>Upper Traverse Extended🪖</v>
      </c>
      <c r="H7" s="41" t="str">
        <f>IF('Send Data'!C26=0,"",'Send Data'!C26)</f>
        <v>Andrew Boulder Problem🪖</v>
      </c>
      <c r="I7" s="41" t="str">
        <f>IF('Send Data'!G27=0,"",'Send Data'!G27)</f>
        <v>More Crimps</v>
      </c>
      <c r="J7" s="41" t="str">
        <f>IF('Send Data'!K17=0,"",'Send Data'!K17)</f>
        <v/>
      </c>
      <c r="K7" s="41" t="str">
        <f>IF('Send Data'!C34=0,"",'Send Data'!C34)</f>
        <v/>
      </c>
      <c r="L7" s="41" t="str">
        <f>IF('Send Data'!G33=0,"",'Send Data'!G33)</f>
        <v>Let's Be Friends</v>
      </c>
      <c r="M7" s="41" t="str">
        <f>IF('Send Data'!K23=0,"",'Send Data'!K23)</f>
        <v>Southbury Traverse</v>
      </c>
      <c r="N7" s="41" t="str">
        <f>IF('Send Data'!C38=0,"",'Send Data'!C38)</f>
        <v/>
      </c>
      <c r="O7" s="41" t="str">
        <f>IF('Send Data'!G40=0,"",'Send Data'!G40)</f>
        <v/>
      </c>
      <c r="P7" s="41" t="e">
        <f>IF('Send Data'!#REF!=0,"",'Send Data'!#REF!)</f>
        <v>#REF!</v>
      </c>
      <c r="Q7" s="41" t="e">
        <f>IF('Send Data'!#REF!=0,"",'Send Data'!#REF!)</f>
        <v>#REF!</v>
      </c>
      <c r="R7" s="41" t="e">
        <f>IF('Send Data'!#REF!=0,"",'Send Data'!#REF!)</f>
        <v>#REF!</v>
      </c>
      <c r="S7" s="41" t="e">
        <f>IF('Send Data'!#REF!=0,"",'Send Data'!#REF!)</f>
        <v>#REF!</v>
      </c>
      <c r="T7" s="41" t="e">
        <f>IF('Send Data'!#REF!=0,"",'Send Data'!#REF!)</f>
        <v>#REF!</v>
      </c>
      <c r="U7" s="41" t="str">
        <f>IF('Send Data'!G48=0,"",'Send Data'!G48)</f>
        <v/>
      </c>
      <c r="V7" s="36"/>
      <c r="W7" s="33"/>
      <c r="X7" s="70" t="s">
        <v>3</v>
      </c>
      <c r="Y7" s="70">
        <v>1</v>
      </c>
      <c r="Z7" s="33"/>
      <c r="AA7" s="33"/>
      <c r="AB7" s="33"/>
      <c r="AC7" s="33"/>
      <c r="AD7" s="33"/>
      <c r="AE7" s="33"/>
      <c r="AF7" s="33"/>
    </row>
    <row r="8" spans="1:32" ht="15.75" customHeight="1">
      <c r="A8" s="40"/>
      <c r="B8" s="41" t="str">
        <f>IF('Send Data'!C6=0,"",'Send Data'!C6)</f>
        <v/>
      </c>
      <c r="C8" s="41" t="str">
        <f>IF('Send Data'!G6=0,"",'Send Data'!G6)</f>
        <v>Slab V1+🪖</v>
      </c>
      <c r="D8" s="41" t="e">
        <f>IF('Send Data'!#REF!=0,"",'Send Data'!#REF!)</f>
        <v>#REF!</v>
      </c>
      <c r="E8" s="41" t="str">
        <f>IF('Send Data'!C13=0,"",'Send Data'!C13)</f>
        <v>Easier Said Than Done🪖</v>
      </c>
      <c r="F8" s="41" t="str">
        <f>IF('Send Data'!G20=0,"",'Send Data'!G20)</f>
        <v>Hump Straight Up⚡️</v>
      </c>
      <c r="G8" s="41" t="str">
        <f>IF('Send Data'!K10=0,"",'Send Data'!K10)</f>
        <v>Locked In🪖</v>
      </c>
      <c r="H8" s="41" t="str">
        <f>IF('Send Data'!C27=0,"",'Send Data'!C27)</f>
        <v>Southbury Trav Stand🪖</v>
      </c>
      <c r="I8" s="41" t="e">
        <f>IF('Send Data'!#REF!=0,"",'Send Data'!#REF!)</f>
        <v>#REF!</v>
      </c>
      <c r="J8" s="41" t="str">
        <f>IF('Send Data'!K18=0,"",'Send Data'!K18)</f>
        <v/>
      </c>
      <c r="K8" s="41" t="e">
        <f>IF('Send Data'!#REF!=0,"",'Send Data'!#REF!)</f>
        <v>#REF!</v>
      </c>
      <c r="L8" s="41" t="str">
        <f>IF('Send Data'!G34=0,"",'Send Data'!G34)</f>
        <v/>
      </c>
      <c r="M8" s="41" t="str">
        <f>IF('Send Data'!K24=0,"",'Send Data'!K24)</f>
        <v>Deep Woods Off🪖</v>
      </c>
      <c r="N8" s="41" t="str">
        <f>IF('Send Data'!C39=0,"",'Send Data'!C39)</f>
        <v/>
      </c>
      <c r="O8" s="41" t="e">
        <f>IF('Send Data'!#REF!=0,"",'Send Data'!#REF!)</f>
        <v>#REF!</v>
      </c>
      <c r="P8" s="41" t="e">
        <f>IF('Send Data'!#REF!=0,"",'Send Data'!#REF!)</f>
        <v>#REF!</v>
      </c>
      <c r="Q8" s="41" t="e">
        <f>IF('Send Data'!#REF!=0,"",'Send Data'!#REF!)</f>
        <v>#REF!</v>
      </c>
      <c r="R8" s="41" t="e">
        <f>IF('Send Data'!#REF!=0,"",'Send Data'!#REF!)</f>
        <v>#REF!</v>
      </c>
      <c r="S8" s="41" t="e">
        <f>IF('Send Data'!#REF!=0,"",'Send Data'!#REF!)</f>
        <v>#REF!</v>
      </c>
      <c r="T8" s="41" t="e">
        <f>IF('Send Data'!#REF!=0,"",'Send Data'!#REF!)</f>
        <v>#REF!</v>
      </c>
      <c r="U8" s="41" t="e">
        <f>IF('Send Data'!#REF!=0,"",'Send Data'!#REF!)</f>
        <v>#REF!</v>
      </c>
      <c r="V8" s="36"/>
      <c r="W8" s="33"/>
      <c r="X8" s="70" t="s">
        <v>4</v>
      </c>
      <c r="Y8" s="70">
        <v>2</v>
      </c>
      <c r="Z8" s="33"/>
      <c r="AA8" s="33"/>
      <c r="AB8" s="33"/>
      <c r="AC8" s="33"/>
      <c r="AD8" s="33"/>
      <c r="AE8" s="33"/>
      <c r="AF8" s="33"/>
    </row>
    <row r="9" spans="1:32" ht="15.75" customHeight="1">
      <c r="A9" s="40"/>
      <c r="B9" s="41" t="str">
        <f>IF('Send Data'!C8=0,"",'Send Data'!C8)</f>
        <v/>
      </c>
      <c r="C9" s="41" t="str">
        <f>IF('Send Data'!G7=0,"",'Send Data'!G7)</f>
        <v>Tombstone Arete⚡</v>
      </c>
      <c r="D9" s="41" t="e">
        <f>IF('Send Data'!#REF!=0,"",'Send Data'!#REF!)</f>
        <v>#REF!</v>
      </c>
      <c r="E9" s="41" t="str">
        <f>IF('Send Data'!C14=0,"",'Send Data'!C14)</f>
        <v>The Egg🪖</v>
      </c>
      <c r="F9" s="41" t="str">
        <f>IF('Send Data'!G21=0,"",'Send Data'!G21)</f>
        <v>Fake Snakes🪖</v>
      </c>
      <c r="G9" s="41" t="str">
        <f>IF('Send Data'!K11=0,"",'Send Data'!K11)</f>
        <v/>
      </c>
      <c r="H9" s="41" t="str">
        <f>IF('Send Data'!C28=0,"",'Send Data'!C28)</f>
        <v/>
      </c>
      <c r="I9" s="41" t="e">
        <f>IF('Send Data'!#REF!=0,"",'Send Data'!#REF!)</f>
        <v>#REF!</v>
      </c>
      <c r="J9" s="41" t="e">
        <f>IF('Send Data'!#REF!=0,"",'Send Data'!#REF!)</f>
        <v>#REF!</v>
      </c>
      <c r="K9" s="41" t="e">
        <f>IF('Send Data'!#REF!=0,"",'Send Data'!#REF!)</f>
        <v>#REF!</v>
      </c>
      <c r="L9" s="41" t="str">
        <f>IF('Send Data'!G35=0,"",'Send Data'!G35)</f>
        <v/>
      </c>
      <c r="M9" s="41" t="str">
        <f>IF('Send Data'!K25=0,"",'Send Data'!K25)</f>
        <v>Pansies Against Pull Ups🪖</v>
      </c>
      <c r="N9" s="41" t="e">
        <f>IF('Send Data'!#REF!=0,"",'Send Data'!#REF!)</f>
        <v>#REF!</v>
      </c>
      <c r="O9" s="41" t="e">
        <f>IF('Send Data'!#REF!=0,"",'Send Data'!#REF!)</f>
        <v>#REF!</v>
      </c>
      <c r="P9" s="41" t="e">
        <f>IF('Send Data'!#REF!=0,"",'Send Data'!#REF!)</f>
        <v>#REF!</v>
      </c>
      <c r="Q9" s="41" t="e">
        <f>IF('Send Data'!#REF!=0,"",'Send Data'!#REF!)</f>
        <v>#REF!</v>
      </c>
      <c r="R9" s="41" t="e">
        <f>IF('Send Data'!#REF!=0,"",'Send Data'!#REF!)</f>
        <v>#REF!</v>
      </c>
      <c r="S9" s="41" t="e">
        <f>IF('Send Data'!#REF!=0,"",'Send Data'!#REF!)</f>
        <v>#REF!</v>
      </c>
      <c r="T9" s="41" t="e">
        <f>IF('Send Data'!#REF!=0,"",'Send Data'!#REF!)</f>
        <v>#REF!</v>
      </c>
      <c r="U9" s="41" t="e">
        <f>IF('Send Data'!#REF!=0,"",'Send Data'!#REF!)</f>
        <v>#REF!</v>
      </c>
      <c r="V9" s="36"/>
      <c r="W9" s="33"/>
      <c r="X9" s="70" t="s">
        <v>5</v>
      </c>
      <c r="Y9" s="70">
        <v>3</v>
      </c>
      <c r="Z9" s="33"/>
      <c r="AA9" s="33"/>
      <c r="AB9" s="33"/>
      <c r="AC9" s="33"/>
      <c r="AD9" s="33"/>
      <c r="AE9" s="33"/>
      <c r="AF9" s="33"/>
    </row>
    <row r="10" spans="1:32" ht="15.75" customHeight="1">
      <c r="A10" s="40"/>
      <c r="B10" s="41" t="e">
        <f>IF('Send Data'!#REF!=0,"",'Send Data'!#REF!)</f>
        <v>#REF!</v>
      </c>
      <c r="C10" s="41" t="str">
        <f>IF('Send Data'!G8=0,"",'Send Data'!G8)</f>
        <v>Baby Step🦅</v>
      </c>
      <c r="D10" s="41" t="e">
        <f>IF('Send Data'!#REF!=0,"",'Send Data'!#REF!)</f>
        <v>#REF!</v>
      </c>
      <c r="E10" s="41" t="str">
        <f>IF('Send Data'!C15=0,"",'Send Data'!C15)</f>
        <v>Pinched Loaf🪖</v>
      </c>
      <c r="F10" s="41" t="e">
        <f>IF('Send Data'!#REF!=0,"",'Send Data'!#REF!)</f>
        <v>#REF!</v>
      </c>
      <c r="G10" s="41" t="str">
        <f>IF('Send Data'!K12=0,"",'Send Data'!K12)</f>
        <v/>
      </c>
      <c r="H10" s="41" t="str">
        <f>IF('Send Data'!C29=0,"",'Send Data'!C29)</f>
        <v/>
      </c>
      <c r="I10" s="41" t="e">
        <f>IF('Send Data'!#REF!=0,"",'Send Data'!#REF!)</f>
        <v>#REF!</v>
      </c>
      <c r="J10" s="41" t="e">
        <f>IF('Send Data'!#REF!=0,"",'Send Data'!#REF!)</f>
        <v>#REF!</v>
      </c>
      <c r="K10" s="41" t="e">
        <f>IF('Send Data'!#REF!=0,"",'Send Data'!#REF!)</f>
        <v>#REF!</v>
      </c>
      <c r="L10" s="41" t="e">
        <f>IF('Send Data'!#REF!=0,"",'Send Data'!#REF!)</f>
        <v>#REF!</v>
      </c>
      <c r="M10" s="41" t="str">
        <f>IF('Send Data'!K26=0,"",'Send Data'!K26)</f>
        <v>The Hump</v>
      </c>
      <c r="N10" s="41" t="e">
        <f>IF('Send Data'!#REF!=0,"",'Send Data'!#REF!)</f>
        <v>#REF!</v>
      </c>
      <c r="O10" s="41" t="e">
        <f>IF('Send Data'!#REF!=0,"",'Send Data'!#REF!)</f>
        <v>#REF!</v>
      </c>
      <c r="P10" s="41" t="e">
        <f>IF('Send Data'!#REF!=0,"",'Send Data'!#REF!)</f>
        <v>#REF!</v>
      </c>
      <c r="Q10" s="41" t="e">
        <f>IF('Send Data'!#REF!=0,"",'Send Data'!#REF!)</f>
        <v>#REF!</v>
      </c>
      <c r="R10" s="41" t="e">
        <f>IF('Send Data'!#REF!=0,"",'Send Data'!#REF!)</f>
        <v>#REF!</v>
      </c>
      <c r="S10" s="41" t="e">
        <f>IF('Send Data'!#REF!=0,"",'Send Data'!#REF!)</f>
        <v>#REF!</v>
      </c>
      <c r="T10" s="41" t="e">
        <f>IF('Send Data'!#REF!=0,"",'Send Data'!#REF!)</f>
        <v>#REF!</v>
      </c>
      <c r="U10" s="41" t="e">
        <f>IF('Send Data'!#REF!=0,"",'Send Data'!#REF!)</f>
        <v>#REF!</v>
      </c>
      <c r="V10" s="36"/>
      <c r="W10" s="33"/>
      <c r="X10" s="70" t="s">
        <v>6</v>
      </c>
      <c r="Y10" s="70">
        <v>3</v>
      </c>
      <c r="Z10" s="33"/>
      <c r="AA10" s="33"/>
      <c r="AB10" s="33"/>
      <c r="AC10" s="33"/>
      <c r="AD10" s="33"/>
      <c r="AE10" s="33"/>
      <c r="AF10" s="33"/>
    </row>
    <row r="11" spans="1:32" ht="15.75" customHeight="1">
      <c r="A11" s="40"/>
      <c r="B11" s="41" t="e">
        <f>IF('Send Data'!#REF!=0,"",'Send Data'!#REF!)</f>
        <v>#REF!</v>
      </c>
      <c r="C11" s="41" t="str">
        <f>IF('Send Data'!G9=0,"",'Send Data'!G9)</f>
        <v>Brett's V🪖</v>
      </c>
      <c r="D11" s="41" t="e">
        <f>IF('Send Data'!#REF!=0,"",'Send Data'!#REF!)</f>
        <v>#REF!</v>
      </c>
      <c r="E11" s="41" t="str">
        <f>IF('Send Data'!C16=0,"",'Send Data'!C16)</f>
        <v>Left Block Arete🪖</v>
      </c>
      <c r="F11" s="41" t="e">
        <f>IF('Send Data'!#REF!=0,"",'Send Data'!#REF!)</f>
        <v>#REF!</v>
      </c>
      <c r="G11" s="41" t="str">
        <f>IF('Send Data'!K13=0,"",'Send Data'!K13)</f>
        <v/>
      </c>
      <c r="H11" s="41" t="str">
        <f>IF('Send Data'!C30=0,"",'Send Data'!C30)</f>
        <v/>
      </c>
      <c r="I11" s="41" t="e">
        <f>IF('Send Data'!#REF!=0,"",'Send Data'!#REF!)</f>
        <v>#REF!</v>
      </c>
      <c r="J11" s="41" t="e">
        <f>IF('Send Data'!#REF!=0,"",'Send Data'!#REF!)</f>
        <v>#REF!</v>
      </c>
      <c r="K11" s="41" t="e">
        <f>IF('Send Data'!#REF!=0,"",'Send Data'!#REF!)</f>
        <v>#REF!</v>
      </c>
      <c r="L11" s="41" t="e">
        <f>IF('Send Data'!#REF!=0,"",'Send Data'!#REF!)</f>
        <v>#REF!</v>
      </c>
      <c r="M11" s="41" t="str">
        <f>IF('Send Data'!K27=0,"",'Send Data'!K27)</f>
        <v>Late For Meeting🪖</v>
      </c>
      <c r="N11" s="41" t="e">
        <f>IF('Send Data'!#REF!=0,"",'Send Data'!#REF!)</f>
        <v>#REF!</v>
      </c>
      <c r="O11" s="41" t="e">
        <f>IF('Send Data'!#REF!=0,"",'Send Data'!#REF!)</f>
        <v>#REF!</v>
      </c>
      <c r="P11" s="41" t="e">
        <f>IF('Send Data'!#REF!=0,"",'Send Data'!#REF!)</f>
        <v>#REF!</v>
      </c>
      <c r="Q11" s="41" t="e">
        <f>IF('Send Data'!#REF!=0,"",'Send Data'!#REF!)</f>
        <v>#REF!</v>
      </c>
      <c r="R11" s="41" t="e">
        <f>IF('Send Data'!#REF!=0,"",'Send Data'!#REF!)</f>
        <v>#REF!</v>
      </c>
      <c r="S11" s="41" t="e">
        <f>IF('Send Data'!#REF!=0,"",'Send Data'!#REF!)</f>
        <v>#REF!</v>
      </c>
      <c r="T11" s="41" t="e">
        <f>IF('Send Data'!#REF!=0,"",'Send Data'!#REF!)</f>
        <v>#REF!</v>
      </c>
      <c r="U11" s="41" t="e">
        <f>IF('Send Data'!#REF!=0,"",'Send Data'!#REF!)</f>
        <v>#REF!</v>
      </c>
      <c r="V11" s="36"/>
      <c r="W11" s="33"/>
      <c r="X11" s="70" t="s">
        <v>7</v>
      </c>
      <c r="Y11" s="70">
        <v>4</v>
      </c>
      <c r="Z11" s="33"/>
      <c r="AA11" s="33"/>
      <c r="AB11" s="33"/>
      <c r="AC11" s="33"/>
      <c r="AD11" s="33"/>
      <c r="AE11" s="33"/>
      <c r="AF11" s="33"/>
    </row>
    <row r="12" spans="1:32" ht="15.75" customHeight="1">
      <c r="A12" s="40"/>
      <c r="B12" s="41" t="e">
        <f>IF('Send Data'!#REF!=0,"",'Send Data'!#REF!)</f>
        <v>#REF!</v>
      </c>
      <c r="C12" s="41" t="str">
        <f>IF('Send Data'!G10=0,"",'Send Data'!G10)</f>
        <v>True Snakes🦅</v>
      </c>
      <c r="D12" s="41" t="e">
        <f>IF('Send Data'!#REF!=0,"",'Send Data'!#REF!)</f>
        <v>#REF!</v>
      </c>
      <c r="E12" s="41" t="str">
        <f>IF('Send Data'!C17=0,"",'Send Data'!C17)</f>
        <v>Crimps🪖</v>
      </c>
      <c r="F12" s="41" t="e">
        <f>IF('Send Data'!#REF!=0,"",'Send Data'!#REF!)</f>
        <v>#REF!</v>
      </c>
      <c r="G12" s="41" t="e">
        <f>IF('Send Data'!#REF!=0,"",'Send Data'!#REF!)</f>
        <v>#REF!</v>
      </c>
      <c r="H12" s="41" t="e">
        <f>IF('Send Data'!#REF!=0,"",'Send Data'!#REF!)</f>
        <v>#REF!</v>
      </c>
      <c r="I12" s="41" t="e">
        <f>IF('Send Data'!#REF!=0,"",'Send Data'!#REF!)</f>
        <v>#REF!</v>
      </c>
      <c r="J12" s="41" t="e">
        <f>IF('Send Data'!#REF!=0,"",'Send Data'!#REF!)</f>
        <v>#REF!</v>
      </c>
      <c r="K12" s="41" t="e">
        <f>IF('Send Data'!#REF!=0,"",'Send Data'!#REF!)</f>
        <v>#REF!</v>
      </c>
      <c r="L12" s="41" t="e">
        <f>IF('Send Data'!#REF!=0,"",'Send Data'!#REF!)</f>
        <v>#REF!</v>
      </c>
      <c r="M12" s="41" t="str">
        <f>IF('Send Data'!K28=0,"",'Send Data'!K28)</f>
        <v>The Official</v>
      </c>
      <c r="N12" s="41" t="e">
        <f>IF('Send Data'!#REF!=0,"",'Send Data'!#REF!)</f>
        <v>#REF!</v>
      </c>
      <c r="O12" s="41" t="e">
        <f>IF('Send Data'!#REF!=0,"",'Send Data'!#REF!)</f>
        <v>#REF!</v>
      </c>
      <c r="P12" s="41" t="e">
        <f>IF('Send Data'!#REF!=0,"",'Send Data'!#REF!)</f>
        <v>#REF!</v>
      </c>
      <c r="Q12" s="41" t="e">
        <f>IF('Send Data'!#REF!=0,"",'Send Data'!#REF!)</f>
        <v>#REF!</v>
      </c>
      <c r="R12" s="41" t="e">
        <f>IF('Send Data'!#REF!=0,"",'Send Data'!#REF!)</f>
        <v>#REF!</v>
      </c>
      <c r="S12" s="41" t="e">
        <f>IF('Send Data'!#REF!=0,"",'Send Data'!#REF!)</f>
        <v>#REF!</v>
      </c>
      <c r="T12" s="41" t="e">
        <f>IF('Send Data'!#REF!=0,"",'Send Data'!#REF!)</f>
        <v>#REF!</v>
      </c>
      <c r="U12" s="41" t="e">
        <f>IF('Send Data'!#REF!=0,"",'Send Data'!#REF!)</f>
        <v>#REF!</v>
      </c>
      <c r="V12" s="36"/>
      <c r="W12" s="33"/>
      <c r="X12" s="70" t="s">
        <v>8</v>
      </c>
      <c r="Y12" s="70">
        <v>4</v>
      </c>
      <c r="Z12" s="33"/>
      <c r="AA12" s="33"/>
      <c r="AB12" s="33"/>
      <c r="AC12" s="33"/>
      <c r="AD12" s="33"/>
      <c r="AE12" s="33"/>
      <c r="AF12" s="33"/>
    </row>
    <row r="13" spans="1:32" ht="15.75" customHeight="1">
      <c r="A13" s="40"/>
      <c r="B13" s="41" t="e">
        <f>IF('Send Data'!#REF!=0,"",'Send Data'!#REF!)</f>
        <v>#REF!</v>
      </c>
      <c r="C13" s="41" t="str">
        <f>IF('Send Data'!G11=0,"",'Send Data'!G11)</f>
        <v>Classic Rail Traverse🦅</v>
      </c>
      <c r="D13" s="41" t="e">
        <f>IF('Send Data'!#REF!=0,"",'Send Data'!#REF!)</f>
        <v>#REF!</v>
      </c>
      <c r="E13" s="41" t="str">
        <f>IF('Send Data'!C18=0,"",'Send Data'!C18)</f>
        <v>Totem Pole🦅</v>
      </c>
      <c r="F13" s="41" t="e">
        <f>IF('Send Data'!#REF!=0,"",'Send Data'!#REF!)</f>
        <v>#REF!</v>
      </c>
      <c r="G13" s="41" t="e">
        <f>IF('Send Data'!#REF!=0,"",'Send Data'!#REF!)</f>
        <v>#REF!</v>
      </c>
      <c r="H13" s="41" t="e">
        <f>IF('Send Data'!#REF!=0,"",'Send Data'!#REF!)</f>
        <v>#REF!</v>
      </c>
      <c r="I13" s="41" t="e">
        <f>IF('Send Data'!#REF!=0,"",'Send Data'!#REF!)</f>
        <v>#REF!</v>
      </c>
      <c r="J13" s="41" t="e">
        <f>IF('Send Data'!#REF!=0,"",'Send Data'!#REF!)</f>
        <v>#REF!</v>
      </c>
      <c r="K13" s="41" t="e">
        <f>IF('Send Data'!#REF!=0,"",'Send Data'!#REF!)</f>
        <v>#REF!</v>
      </c>
      <c r="L13" s="41" t="e">
        <f>IF('Send Data'!#REF!=0,"",'Send Data'!#REF!)</f>
        <v>#REF!</v>
      </c>
      <c r="M13" s="41" t="str">
        <f>IF('Send Data'!K29=0,"",'Send Data'!K29)</f>
        <v>The Howl</v>
      </c>
      <c r="N13" s="41" t="e">
        <f>IF('Send Data'!#REF!=0,"",'Send Data'!#REF!)</f>
        <v>#REF!</v>
      </c>
      <c r="O13" s="41" t="e">
        <f>IF('Send Data'!#REF!=0,"",'Send Data'!#REF!)</f>
        <v>#REF!</v>
      </c>
      <c r="P13" s="41" t="str">
        <f>IF('Send Data'!K40=0,"",'Send Data'!K40)</f>
        <v/>
      </c>
      <c r="Q13" s="41" t="e">
        <f>IF('Send Data'!#REF!=0,"",'Send Data'!#REF!)</f>
        <v>#REF!</v>
      </c>
      <c r="R13" s="41" t="e">
        <f>IF('Send Data'!#REF!=0,"",'Send Data'!#REF!)</f>
        <v>#REF!</v>
      </c>
      <c r="S13" s="41" t="str">
        <f>IF('Send Data'!K42=0,"",'Send Data'!K42)</f>
        <v/>
      </c>
      <c r="T13" s="41" t="e">
        <f>IF('Send Data'!#REF!=0,"",'Send Data'!#REF!)</f>
        <v>#REF!</v>
      </c>
      <c r="U13" s="41" t="e">
        <f>IF('Send Data'!#REF!=0,"",'Send Data'!#REF!)</f>
        <v>#REF!</v>
      </c>
      <c r="V13" s="36"/>
      <c r="W13" s="33"/>
      <c r="X13" s="70" t="s">
        <v>9</v>
      </c>
      <c r="Y13" s="70">
        <v>5</v>
      </c>
      <c r="Z13" s="33"/>
      <c r="AA13" s="33"/>
      <c r="AB13" s="33"/>
      <c r="AC13" s="33"/>
      <c r="AD13" s="33"/>
      <c r="AE13" s="33"/>
      <c r="AF13" s="33"/>
    </row>
    <row r="14" spans="1:32" ht="15.75" customHeight="1">
      <c r="A14" s="72" t="s">
        <v>27</v>
      </c>
      <c r="B14" s="73" t="str">
        <f>IF(COUNTIF(B15:B24,"?*")=0,"",COUNTIF(B15:B24,"?*"))</f>
        <v/>
      </c>
      <c r="C14" s="73" t="str">
        <f t="shared" ref="C14:U14" si="2">IF(COUNTIF(C15:C24,"?*")=0,"",COUNTIF(C15:C24,"?*"))</f>
        <v/>
      </c>
      <c r="D14" s="73" t="str">
        <f t="shared" si="2"/>
        <v/>
      </c>
      <c r="E14" s="73" t="str">
        <f t="shared" si="2"/>
        <v/>
      </c>
      <c r="F14" s="73" t="str">
        <f t="shared" si="2"/>
        <v/>
      </c>
      <c r="G14" s="73" t="str">
        <f t="shared" si="2"/>
        <v/>
      </c>
      <c r="H14" s="73" t="str">
        <f t="shared" si="2"/>
        <v/>
      </c>
      <c r="I14" s="73">
        <f t="shared" si="2"/>
        <v>2</v>
      </c>
      <c r="J14" s="73" t="str">
        <f t="shared" si="2"/>
        <v/>
      </c>
      <c r="K14" s="73">
        <f t="shared" si="2"/>
        <v>1</v>
      </c>
      <c r="L14" s="73">
        <f t="shared" si="2"/>
        <v>2</v>
      </c>
      <c r="M14" s="73">
        <f t="shared" si="2"/>
        <v>4</v>
      </c>
      <c r="N14" s="73">
        <f t="shared" si="2"/>
        <v>3</v>
      </c>
      <c r="O14" s="73">
        <f t="shared" si="2"/>
        <v>2</v>
      </c>
      <c r="P14" s="73">
        <f t="shared" si="2"/>
        <v>5</v>
      </c>
      <c r="Q14" s="73">
        <f t="shared" si="2"/>
        <v>2</v>
      </c>
      <c r="R14" s="73">
        <f t="shared" si="2"/>
        <v>1</v>
      </c>
      <c r="S14" s="73" t="str">
        <f t="shared" si="2"/>
        <v/>
      </c>
      <c r="T14" s="73" t="str">
        <f t="shared" si="2"/>
        <v/>
      </c>
      <c r="U14" s="73" t="str">
        <f t="shared" si="2"/>
        <v/>
      </c>
      <c r="V14" s="74">
        <f t="shared" ref="V14" si="3">SUM(B14:T14)</f>
        <v>22</v>
      </c>
      <c r="W14" s="33"/>
      <c r="X14" s="70" t="s">
        <v>10</v>
      </c>
      <c r="Y14" s="70">
        <v>5</v>
      </c>
      <c r="Z14" s="33"/>
      <c r="AA14" s="33"/>
      <c r="AB14" s="33"/>
      <c r="AC14" s="33"/>
      <c r="AD14" s="33"/>
      <c r="AE14" s="33"/>
      <c r="AF14" s="33"/>
    </row>
    <row r="15" spans="1:32" ht="15.75" customHeight="1">
      <c r="B15" s="42" t="str">
        <f>IF('Project Data'!C2=0,"",'Project Data'!C2)</f>
        <v/>
      </c>
      <c r="C15" s="42" t="str">
        <f>IF('Project Data'!G2=0,"",'Project Data'!G2)</f>
        <v/>
      </c>
      <c r="D15" s="42" t="str">
        <f>IF('Project Data'!K2=0,"",'Project Data'!K2)</f>
        <v/>
      </c>
      <c r="E15" s="42" t="str">
        <f>IF('Project Data'!C12=0,"",'Project Data'!C12)</f>
        <v/>
      </c>
      <c r="F15" s="42" t="str">
        <f>IF('Project Data'!G12=0,"",'Project Data'!G12)</f>
        <v/>
      </c>
      <c r="G15" s="42" t="str">
        <f>IF('Project Data'!K12=0,"",'Project Data'!K12)</f>
        <v/>
      </c>
      <c r="H15" s="42" t="str">
        <f>IF('Project Data'!C22=0,"",'Project Data'!C22)</f>
        <v/>
      </c>
      <c r="I15" s="42" t="str">
        <f>IF('Project Data'!G22=0,"",'Project Data'!G22)</f>
        <v>Real Snakes</v>
      </c>
      <c r="J15" s="42" t="str">
        <f>IF('Project Data'!K22=0,"",'Project Data'!K22)</f>
        <v/>
      </c>
      <c r="K15" s="42" t="str">
        <f>IF('Project Data'!C32=0,"",'Project Data'!C32)</f>
        <v>Dave's Slab</v>
      </c>
      <c r="L15" s="42" t="str">
        <f>IF('Project Data'!G32=0,"",'Project Data'!G32)</f>
        <v>Gritstone on Holiday</v>
      </c>
      <c r="M15" s="42" t="str">
        <f>IF('Project Data'!K32=0,"",'Project Data'!K32)</f>
        <v>The Buddha</v>
      </c>
      <c r="N15" s="42" t="str">
        <f>IF('Project Data'!C42=0,"",'Project Data'!C42)</f>
        <v>Pinch Sit</v>
      </c>
      <c r="O15" s="42" t="str">
        <f>IF('Project Data'!G42=0,"",'Project Data'!G42)</f>
        <v>Bugged Out</v>
      </c>
      <c r="P15" s="42" t="str">
        <f>IF('Project Data'!K42=0,"",'Project Data'!K42)</f>
        <v>Catharsis</v>
      </c>
      <c r="Q15" s="42" t="str">
        <f>IF('Project Data'!C52=0,"",'Project Data'!C52)</f>
        <v>Big Nandog</v>
      </c>
      <c r="R15" s="42" t="str">
        <f>IF('Project Data'!G52=0,"",'Project Data'!G52)</f>
        <v>Confident Man</v>
      </c>
      <c r="S15" s="42" t="str">
        <f>IF('Project Data'!K52=0,"",'Project Data'!K52)</f>
        <v/>
      </c>
      <c r="T15" s="42" t="str">
        <f>IF('Project Data'!C62=0,"",'Project Data'!C62)</f>
        <v/>
      </c>
      <c r="U15" s="42" t="str">
        <f>IF('Project Data'!G62=0,"",'Project Data'!G62)</f>
        <v/>
      </c>
      <c r="V15" s="36"/>
      <c r="W15" s="33"/>
      <c r="X15" s="70" t="s">
        <v>11</v>
      </c>
      <c r="Y15" s="70">
        <v>6</v>
      </c>
      <c r="Z15" s="33"/>
      <c r="AA15" s="33"/>
      <c r="AB15" s="33"/>
      <c r="AC15" s="33"/>
      <c r="AD15" s="33"/>
      <c r="AE15" s="33"/>
      <c r="AF15" s="33"/>
    </row>
    <row r="16" spans="1:32" ht="15.75" customHeight="1">
      <c r="A16" s="40"/>
      <c r="B16" s="41" t="str">
        <f>IF('Project Data'!C3=0,"",'Project Data'!C3)</f>
        <v/>
      </c>
      <c r="C16" s="41" t="str">
        <f>IF('Project Data'!G3=0,"",'Project Data'!G3)</f>
        <v/>
      </c>
      <c r="D16" s="41" t="str">
        <f>IF('Project Data'!K3=0,"",'Project Data'!K3)</f>
        <v/>
      </c>
      <c r="E16" s="41" t="str">
        <f>IF('Project Data'!C13=0,"",'Project Data'!C13)</f>
        <v/>
      </c>
      <c r="F16" s="41" t="str">
        <f>IF('Project Data'!G13=0,"",'Project Data'!G13)</f>
        <v/>
      </c>
      <c r="G16" s="41" t="str">
        <f>IF('Project Data'!K13=0,"",'Project Data'!K13)</f>
        <v/>
      </c>
      <c r="H16" s="41" t="str">
        <f>IF('Project Data'!C23=0,"",'Project Data'!C23)</f>
        <v/>
      </c>
      <c r="I16" s="41" t="str">
        <f>IF('Project Data'!G23=0,"",'Project Data'!G23)</f>
        <v>Cyborg Cyclops</v>
      </c>
      <c r="J16" s="41" t="str">
        <f>IF('Project Data'!K23=0,"",'Project Data'!K23)</f>
        <v/>
      </c>
      <c r="K16" s="41" t="str">
        <f>IF('Project Data'!C33=0,"",'Project Data'!C33)</f>
        <v/>
      </c>
      <c r="L16" s="41" t="str">
        <f>IF('Project Data'!G33=0,"",'Project Data'!G33)</f>
        <v>Moby Sit</v>
      </c>
      <c r="M16" s="41" t="str">
        <f>IF('Project Data'!K33=0,"",'Project Data'!K33)</f>
        <v>New Pair of Glasses</v>
      </c>
      <c r="N16" s="41" t="str">
        <f>IF('Project Data'!C43=0,"",'Project Data'!C43)</f>
        <v>Leave it to Beaver</v>
      </c>
      <c r="O16" s="41" t="str">
        <f>IF('Project Data'!G43=0,"",'Project Data'!G43)</f>
        <v>Official Direct</v>
      </c>
      <c r="P16" s="41" t="str">
        <f>IF('Project Data'!K43=0,"",'Project Data'!K43)</f>
        <v>SUAPM</v>
      </c>
      <c r="Q16" s="41" t="str">
        <f>IF('Project Data'!C53=0,"",'Project Data'!C53)</f>
        <v>Never Left Shelton</v>
      </c>
      <c r="R16" s="41" t="str">
        <f>IF('Project Data'!G53=0,"",'Project Data'!G53)</f>
        <v/>
      </c>
      <c r="S16" s="41" t="str">
        <f>IF('Project Data'!K53=0,"",'Project Data'!K53)</f>
        <v/>
      </c>
      <c r="T16" s="41" t="str">
        <f>IF('Project Data'!C63=0,"",'Project Data'!C63)</f>
        <v/>
      </c>
      <c r="U16" s="41" t="str">
        <f>IF('Project Data'!G63=0,"",'Project Data'!G63)</f>
        <v/>
      </c>
      <c r="V16" s="36"/>
      <c r="W16" s="33"/>
      <c r="X16" s="70" t="s">
        <v>12</v>
      </c>
      <c r="Y16" s="70">
        <v>7</v>
      </c>
      <c r="Z16" s="33"/>
      <c r="AA16" s="33"/>
      <c r="AB16" s="33"/>
      <c r="AC16" s="33"/>
      <c r="AD16" s="33"/>
      <c r="AE16" s="33"/>
      <c r="AF16" s="33"/>
    </row>
    <row r="17" spans="1:33" ht="15.75" customHeight="1">
      <c r="A17" s="40"/>
      <c r="B17" s="41" t="str">
        <f>IF('Project Data'!C4=0,"",'Project Data'!C4)</f>
        <v/>
      </c>
      <c r="C17" s="41" t="str">
        <f>IF('Project Data'!G4=0,"",'Project Data'!G4)</f>
        <v/>
      </c>
      <c r="D17" s="41" t="str">
        <f>IF('Project Data'!K4=0,"",'Project Data'!K4)</f>
        <v/>
      </c>
      <c r="E17" s="41" t="str">
        <f>IF('Project Data'!C14=0,"",'Project Data'!C14)</f>
        <v/>
      </c>
      <c r="F17" s="41" t="str">
        <f>IF('Project Data'!G14=0,"",'Project Data'!G14)</f>
        <v/>
      </c>
      <c r="G17" s="41" t="str">
        <f>IF('Project Data'!K14=0,"",'Project Data'!K14)</f>
        <v/>
      </c>
      <c r="H17" s="41" t="str">
        <f>IF('Project Data'!C24=0,"",'Project Data'!C24)</f>
        <v/>
      </c>
      <c r="I17" s="41" t="str">
        <f>IF('Project Data'!G24=0,"",'Project Data'!G24)</f>
        <v/>
      </c>
      <c r="J17" s="41" t="str">
        <f>IF('Project Data'!K24=0,"",'Project Data'!K24)</f>
        <v/>
      </c>
      <c r="K17" s="41" t="str">
        <f>IF('Project Data'!C34=0,"",'Project Data'!C34)</f>
        <v/>
      </c>
      <c r="L17" s="41" t="str">
        <f>IF('Project Data'!G34=0,"",'Project Data'!G34)</f>
        <v/>
      </c>
      <c r="M17" s="41" t="str">
        <f>IF('Project Data'!K34=0,"",'Project Data'!K34)</f>
        <v>Frankensit</v>
      </c>
      <c r="N17" s="41" t="str">
        <f>IF('Project Data'!C44=0,"",'Project Data'!C44)</f>
        <v>Circle J</v>
      </c>
      <c r="O17" s="41" t="str">
        <f>IF('Project Data'!G44=0,"",'Project Data'!G44)</f>
        <v/>
      </c>
      <c r="P17" s="41" t="str">
        <f>IF('Project Data'!K44=0,"",'Project Data'!K44)</f>
        <v>Always At Fight Weight</v>
      </c>
      <c r="Q17" s="41" t="str">
        <f>IF('Project Data'!C54=0,"",'Project Data'!C54)</f>
        <v/>
      </c>
      <c r="R17" s="41" t="str">
        <f>IF('Project Data'!G54=0,"",'Project Data'!G54)</f>
        <v/>
      </c>
      <c r="S17" s="41" t="str">
        <f>IF('Project Data'!K54=0,"",'Project Data'!K54)</f>
        <v/>
      </c>
      <c r="T17" s="41" t="str">
        <f>IF('Project Data'!C64=0,"",'Project Data'!C64)</f>
        <v/>
      </c>
      <c r="U17" s="41" t="str">
        <f>IF('Project Data'!G64=0,"",'Project Data'!G64)</f>
        <v/>
      </c>
      <c r="V17" s="36"/>
      <c r="W17" s="33"/>
      <c r="X17" s="70" t="s">
        <v>13</v>
      </c>
      <c r="Y17" s="70">
        <v>8</v>
      </c>
      <c r="Z17" s="33"/>
      <c r="AA17" s="33"/>
      <c r="AB17" s="33"/>
      <c r="AC17" s="33"/>
      <c r="AD17" s="33"/>
      <c r="AE17" s="33"/>
      <c r="AF17" s="33"/>
    </row>
    <row r="18" spans="1:33" ht="15.75" customHeight="1">
      <c r="A18" s="40"/>
      <c r="B18" s="41" t="str">
        <f>IF('Project Data'!C5=0,"",'Project Data'!C5)</f>
        <v/>
      </c>
      <c r="C18" s="41" t="str">
        <f>IF('Project Data'!G5=0,"",'Project Data'!G5)</f>
        <v/>
      </c>
      <c r="D18" s="41" t="str">
        <f>IF('Project Data'!K5=0,"",'Project Data'!K5)</f>
        <v/>
      </c>
      <c r="E18" s="41" t="str">
        <f>IF('Project Data'!C15=0,"",'Project Data'!C15)</f>
        <v/>
      </c>
      <c r="F18" s="41" t="str">
        <f>IF('Project Data'!G15=0,"",'Project Data'!G15)</f>
        <v/>
      </c>
      <c r="G18" s="41" t="str">
        <f>IF('Project Data'!K15=0,"",'Project Data'!K15)</f>
        <v/>
      </c>
      <c r="H18" s="41" t="str">
        <f>IF('Project Data'!C25=0,"",'Project Data'!C25)</f>
        <v/>
      </c>
      <c r="I18" s="41" t="str">
        <f>IF('Project Data'!G25=0,"",'Project Data'!G25)</f>
        <v/>
      </c>
      <c r="J18" s="41" t="str">
        <f>IF('Project Data'!K25=0,"",'Project Data'!K25)</f>
        <v/>
      </c>
      <c r="K18" s="41" t="str">
        <f>IF('Project Data'!C35=0,"",'Project Data'!C35)</f>
        <v/>
      </c>
      <c r="L18" s="41" t="str">
        <f>IF('Project Data'!G35=0,"",'Project Data'!G35)</f>
        <v/>
      </c>
      <c r="M18" s="41" t="str">
        <f>IF('Project Data'!K35=0,"",'Project Data'!K35)</f>
        <v>Font Traverse</v>
      </c>
      <c r="N18" s="41" t="str">
        <f>IF('Project Data'!C45=0,"",'Project Data'!C45)</f>
        <v/>
      </c>
      <c r="O18" s="41" t="str">
        <f>IF('Project Data'!G45=0,"",'Project Data'!G45)</f>
        <v/>
      </c>
      <c r="P18" s="41" t="str">
        <f>IF('Project Data'!K45=0,"",'Project Data'!K45)</f>
        <v>Welcome to Shelton</v>
      </c>
      <c r="Q18" s="41" t="str">
        <f>IF('Project Data'!C55=0,"",'Project Data'!C55)</f>
        <v/>
      </c>
      <c r="R18" s="41" t="str">
        <f>IF('Project Data'!G55=0,"",'Project Data'!G55)</f>
        <v/>
      </c>
      <c r="S18" s="41" t="str">
        <f>IF('Project Data'!K55=0,"",'Project Data'!K55)</f>
        <v/>
      </c>
      <c r="T18" s="41" t="str">
        <f>IF('Project Data'!C65=0,"",'Project Data'!C65)</f>
        <v/>
      </c>
      <c r="U18" s="41" t="str">
        <f>IF('Project Data'!G65=0,"",'Project Data'!G65)</f>
        <v/>
      </c>
      <c r="V18" s="36"/>
      <c r="W18" s="33"/>
      <c r="X18" s="70" t="s">
        <v>14</v>
      </c>
      <c r="Y18" s="70">
        <v>8</v>
      </c>
      <c r="Z18" s="33"/>
      <c r="AA18" s="33"/>
      <c r="AB18" s="33"/>
      <c r="AC18" s="33"/>
      <c r="AD18" s="33"/>
      <c r="AE18" s="33"/>
      <c r="AF18" s="33"/>
    </row>
    <row r="19" spans="1:33" ht="15.75" customHeight="1">
      <c r="A19" s="40"/>
      <c r="B19" s="41" t="str">
        <f>IF('Project Data'!C6=0,"",'Project Data'!C6)</f>
        <v/>
      </c>
      <c r="C19" s="41" t="str">
        <f>IF('Project Data'!G6=0,"",'Project Data'!G6)</f>
        <v/>
      </c>
      <c r="D19" s="41" t="str">
        <f>IF('Project Data'!K6=0,"",'Project Data'!K6)</f>
        <v/>
      </c>
      <c r="E19" s="41" t="str">
        <f>IF('Project Data'!C16=0,"",'Project Data'!C16)</f>
        <v/>
      </c>
      <c r="F19" s="41" t="str">
        <f>IF('Project Data'!G16=0,"",'Project Data'!G16)</f>
        <v/>
      </c>
      <c r="G19" s="41" t="str">
        <f>IF('Project Data'!K16=0,"",'Project Data'!K16)</f>
        <v/>
      </c>
      <c r="H19" s="41" t="str">
        <f>IF('Project Data'!C26=0,"",'Project Data'!C26)</f>
        <v/>
      </c>
      <c r="I19" s="41" t="str">
        <f>IF('Project Data'!G26=0,"",'Project Data'!G26)</f>
        <v/>
      </c>
      <c r="J19" s="41" t="str">
        <f>IF('Project Data'!K26=0,"",'Project Data'!K26)</f>
        <v/>
      </c>
      <c r="K19" s="41" t="str">
        <f>IF('Project Data'!C36=0,"",'Project Data'!C36)</f>
        <v/>
      </c>
      <c r="L19" s="41" t="str">
        <f>IF('Project Data'!G36=0,"",'Project Data'!G36)</f>
        <v/>
      </c>
      <c r="M19" s="41" t="str">
        <f>IF('Project Data'!K36=0,"",'Project Data'!K36)</f>
        <v/>
      </c>
      <c r="N19" s="41" t="str">
        <f>IF('Project Data'!C46=0,"",'Project Data'!C46)</f>
        <v/>
      </c>
      <c r="O19" s="41" t="str">
        <f>IF('Project Data'!G46=0,"",'Project Data'!G46)</f>
        <v/>
      </c>
      <c r="P19" s="41" t="str">
        <f>IF('Project Data'!K46=0,"",'Project Data'!K46)</f>
        <v>Unleaded</v>
      </c>
      <c r="Q19" s="41" t="str">
        <f>IF('Project Data'!C56=0,"",'Project Data'!C56)</f>
        <v/>
      </c>
      <c r="R19" s="41" t="str">
        <f>IF('Project Data'!G56=0,"",'Project Data'!G56)</f>
        <v/>
      </c>
      <c r="S19" s="41" t="str">
        <f>IF('Project Data'!K56=0,"",'Project Data'!K56)</f>
        <v/>
      </c>
      <c r="T19" s="41" t="str">
        <f>IF('Project Data'!C66=0,"",'Project Data'!C66)</f>
        <v/>
      </c>
      <c r="U19" s="41" t="str">
        <f>IF('Project Data'!G66=0,"",'Project Data'!G66)</f>
        <v/>
      </c>
      <c r="V19" s="36"/>
      <c r="W19" s="33"/>
      <c r="X19" s="70" t="s">
        <v>15</v>
      </c>
      <c r="Y19" s="70">
        <v>9</v>
      </c>
      <c r="Z19" s="33"/>
      <c r="AA19" s="33"/>
      <c r="AB19" s="33"/>
      <c r="AC19" s="33"/>
      <c r="AD19" s="33"/>
      <c r="AE19" s="33"/>
      <c r="AF19" s="33"/>
    </row>
    <row r="20" spans="1:33" ht="15.75" customHeight="1">
      <c r="A20" s="40"/>
      <c r="B20" s="41" t="str">
        <f>IF('Project Data'!C7=0,"",'Project Data'!C7)</f>
        <v/>
      </c>
      <c r="C20" s="41" t="str">
        <f>IF('Project Data'!G7=0,"",'Project Data'!G7)</f>
        <v/>
      </c>
      <c r="D20" s="41" t="str">
        <f>IF('Project Data'!K7=0,"",'Project Data'!K7)</f>
        <v/>
      </c>
      <c r="E20" s="41" t="str">
        <f>IF('Project Data'!C17=0,"",'Project Data'!C17)</f>
        <v/>
      </c>
      <c r="F20" s="41" t="str">
        <f>IF('Project Data'!G17=0,"",'Project Data'!G17)</f>
        <v/>
      </c>
      <c r="G20" s="41" t="str">
        <f>IF('Project Data'!K17=0,"",'Project Data'!K17)</f>
        <v/>
      </c>
      <c r="H20" s="41" t="str">
        <f>IF('Project Data'!C27=0,"",'Project Data'!C27)</f>
        <v/>
      </c>
      <c r="I20" s="41" t="str">
        <f>IF('Project Data'!G27=0,"",'Project Data'!G27)</f>
        <v/>
      </c>
      <c r="J20" s="41" t="str">
        <f>IF('Project Data'!K27=0,"",'Project Data'!K27)</f>
        <v/>
      </c>
      <c r="K20" s="41" t="str">
        <f>IF('Project Data'!C37=0,"",'Project Data'!C37)</f>
        <v/>
      </c>
      <c r="L20" s="41" t="str">
        <f>IF('Project Data'!G37=0,"",'Project Data'!G37)</f>
        <v/>
      </c>
      <c r="M20" s="41" t="str">
        <f>IF('Project Data'!K37=0,"",'Project Data'!K37)</f>
        <v/>
      </c>
      <c r="N20" s="41" t="str">
        <f>IF('Project Data'!C47=0,"",'Project Data'!C47)</f>
        <v/>
      </c>
      <c r="O20" s="41" t="str">
        <f>IF('Project Data'!G47=0,"",'Project Data'!G47)</f>
        <v/>
      </c>
      <c r="P20" s="41" t="str">
        <f>IF('Project Data'!K47=0,"",'Project Data'!K47)</f>
        <v/>
      </c>
      <c r="Q20" s="41" t="str">
        <f>IF('Project Data'!C57=0,"",'Project Data'!C57)</f>
        <v/>
      </c>
      <c r="R20" s="41" t="str">
        <f>IF('Project Data'!G57=0,"",'Project Data'!G57)</f>
        <v/>
      </c>
      <c r="S20" s="41" t="str">
        <f>IF('Project Data'!K57=0,"",'Project Data'!K57)</f>
        <v/>
      </c>
      <c r="T20" s="41" t="str">
        <f>IF('Project Data'!C67=0,"",'Project Data'!C67)</f>
        <v/>
      </c>
      <c r="U20" s="41" t="str">
        <f>IF('Project Data'!G67=0,"",'Project Data'!G67)</f>
        <v/>
      </c>
      <c r="V20" s="36"/>
      <c r="W20" s="33"/>
      <c r="X20" s="70" t="s">
        <v>16</v>
      </c>
      <c r="Y20" s="70">
        <v>10</v>
      </c>
      <c r="Z20" s="33"/>
      <c r="AA20" s="33"/>
      <c r="AB20" s="33"/>
      <c r="AC20" s="33"/>
      <c r="AD20" s="33"/>
      <c r="AE20" s="33"/>
      <c r="AF20" s="33"/>
    </row>
    <row r="21" spans="1:33" ht="15.75" customHeight="1">
      <c r="A21" s="40"/>
      <c r="B21" s="41" t="str">
        <f>IF('Project Data'!C8=0,"",'Project Data'!C8)</f>
        <v/>
      </c>
      <c r="C21" s="41" t="str">
        <f>IF('Project Data'!G8=0,"",'Project Data'!G8)</f>
        <v/>
      </c>
      <c r="D21" s="41" t="str">
        <f>IF('Project Data'!K8=0,"",'Project Data'!K8)</f>
        <v/>
      </c>
      <c r="E21" s="41" t="str">
        <f>IF('Project Data'!C18=0,"",'Project Data'!C18)</f>
        <v/>
      </c>
      <c r="F21" s="41" t="str">
        <f>IF('Project Data'!G18=0,"",'Project Data'!G18)</f>
        <v/>
      </c>
      <c r="G21" s="41" t="str">
        <f>IF('Project Data'!K18=0,"",'Project Data'!K18)</f>
        <v/>
      </c>
      <c r="H21" s="41" t="str">
        <f>IF('Project Data'!C28=0,"",'Project Data'!C28)</f>
        <v/>
      </c>
      <c r="I21" s="41" t="str">
        <f>IF('Project Data'!G28=0,"",'Project Data'!G28)</f>
        <v/>
      </c>
      <c r="J21" s="41" t="str">
        <f>IF('Project Data'!K28=0,"",'Project Data'!K28)</f>
        <v/>
      </c>
      <c r="K21" s="41" t="str">
        <f>IF('Project Data'!C38=0,"",'Project Data'!C38)</f>
        <v/>
      </c>
      <c r="L21" s="41" t="str">
        <f>IF('Project Data'!G38=0,"",'Project Data'!G38)</f>
        <v/>
      </c>
      <c r="M21" s="41" t="str">
        <f>IF('Project Data'!K38=0,"",'Project Data'!K38)</f>
        <v/>
      </c>
      <c r="N21" s="41" t="str">
        <f>IF('Project Data'!C48=0,"",'Project Data'!C48)</f>
        <v/>
      </c>
      <c r="O21" s="41" t="str">
        <f>IF('Project Data'!G48=0,"",'Project Data'!G48)</f>
        <v/>
      </c>
      <c r="P21" s="41" t="str">
        <f>IF('Project Data'!K48=0,"",'Project Data'!K48)</f>
        <v/>
      </c>
      <c r="Q21" s="41" t="str">
        <f>IF('Project Data'!C58=0,"",'Project Data'!C58)</f>
        <v/>
      </c>
      <c r="R21" s="41" t="str">
        <f>IF('Project Data'!G58=0,"",'Project Data'!G58)</f>
        <v/>
      </c>
      <c r="S21" s="41" t="str">
        <f>IF('Project Data'!K58=0,"",'Project Data'!K58)</f>
        <v/>
      </c>
      <c r="T21" s="41" t="str">
        <f>IF('Project Data'!C68=0,"",'Project Data'!C68)</f>
        <v/>
      </c>
      <c r="U21" s="41" t="str">
        <f>IF('Project Data'!G68=0,"",'Project Data'!G68)</f>
        <v/>
      </c>
      <c r="V21" s="36"/>
      <c r="W21" s="33"/>
      <c r="X21" s="70" t="s">
        <v>17</v>
      </c>
      <c r="Y21" s="70">
        <v>11</v>
      </c>
      <c r="Z21" s="33"/>
      <c r="AA21" s="33"/>
      <c r="AB21" s="33"/>
      <c r="AC21" s="33"/>
      <c r="AD21" s="33"/>
      <c r="AE21" s="33"/>
      <c r="AF21" s="33"/>
    </row>
    <row r="22" spans="1:33" ht="15.75" customHeight="1">
      <c r="A22" s="40"/>
      <c r="B22" s="41" t="str">
        <f>IF('Project Data'!C9=0,"",'Project Data'!C9)</f>
        <v/>
      </c>
      <c r="C22" s="41" t="str">
        <f>IF('Project Data'!G9=0,"",'Project Data'!G9)</f>
        <v/>
      </c>
      <c r="D22" s="41" t="str">
        <f>IF('Project Data'!K9=0,"",'Project Data'!K9)</f>
        <v/>
      </c>
      <c r="E22" s="41" t="str">
        <f>IF('Project Data'!C19=0,"",'Project Data'!C19)</f>
        <v/>
      </c>
      <c r="F22" s="41" t="str">
        <f>IF('Project Data'!G19=0,"",'Project Data'!G19)</f>
        <v/>
      </c>
      <c r="G22" s="41" t="str">
        <f>IF('Project Data'!K19=0,"",'Project Data'!K19)</f>
        <v/>
      </c>
      <c r="H22" s="41" t="str">
        <f>IF('Project Data'!C29=0,"",'Project Data'!C29)</f>
        <v/>
      </c>
      <c r="I22" s="41" t="str">
        <f>IF('Project Data'!G29=0,"",'Project Data'!G29)</f>
        <v/>
      </c>
      <c r="J22" s="41" t="str">
        <f>IF('Project Data'!K29=0,"",'Project Data'!K29)</f>
        <v/>
      </c>
      <c r="K22" s="41" t="str">
        <f>IF('Project Data'!C39=0,"",'Project Data'!C39)</f>
        <v/>
      </c>
      <c r="L22" s="41" t="str">
        <f>IF('Project Data'!G39=0,"",'Project Data'!G39)</f>
        <v/>
      </c>
      <c r="M22" s="41" t="str">
        <f>IF('Project Data'!K39=0,"",'Project Data'!K39)</f>
        <v/>
      </c>
      <c r="N22" s="41" t="str">
        <f>IF('Project Data'!C49=0,"",'Project Data'!C49)</f>
        <v/>
      </c>
      <c r="O22" s="41" t="str">
        <f>IF('Project Data'!G49=0,"",'Project Data'!G49)</f>
        <v/>
      </c>
      <c r="P22" s="41" t="str">
        <f>IF('Project Data'!K49=0,"",'Project Data'!K49)</f>
        <v/>
      </c>
      <c r="Q22" s="41" t="str">
        <f>IF('Project Data'!C59=0,"",'Project Data'!C59)</f>
        <v/>
      </c>
      <c r="R22" s="41" t="str">
        <f>IF('Project Data'!G59=0,"",'Project Data'!G59)</f>
        <v/>
      </c>
      <c r="S22" s="41" t="str">
        <f>IF('Project Data'!K59=0,"",'Project Data'!K59)</f>
        <v/>
      </c>
      <c r="T22" s="41" t="str">
        <f>IF('Project Data'!C69=0,"",'Project Data'!C69)</f>
        <v/>
      </c>
      <c r="U22" s="41" t="str">
        <f>IF('Project Data'!G69=0,"",'Project Data'!G69)</f>
        <v/>
      </c>
      <c r="V22" s="36"/>
      <c r="W22" s="33"/>
      <c r="X22" s="70" t="s">
        <v>18</v>
      </c>
      <c r="Y22" s="70">
        <v>12</v>
      </c>
      <c r="Z22" s="33"/>
      <c r="AA22" s="33"/>
      <c r="AB22" s="34"/>
      <c r="AC22" s="33"/>
      <c r="AD22" s="33"/>
      <c r="AE22" s="33"/>
      <c r="AF22" s="33"/>
    </row>
    <row r="23" spans="1:33" ht="15.75" customHeight="1">
      <c r="A23" s="40"/>
      <c r="B23" s="41" t="str">
        <f>IF('Project Data'!C10=0,"",'Project Data'!C10)</f>
        <v/>
      </c>
      <c r="C23" s="41" t="str">
        <f>IF('Project Data'!G10=0,"",'Project Data'!G10)</f>
        <v/>
      </c>
      <c r="D23" s="41" t="str">
        <f>IF('Project Data'!K10=0,"",'Project Data'!K10)</f>
        <v/>
      </c>
      <c r="E23" s="41" t="str">
        <f>IF('Project Data'!C20=0,"",'Project Data'!C20)</f>
        <v/>
      </c>
      <c r="F23" s="41" t="str">
        <f>IF('Project Data'!G20=0,"",'Project Data'!G20)</f>
        <v/>
      </c>
      <c r="G23" s="41" t="str">
        <f>IF('Project Data'!K20=0,"",'Project Data'!K20)</f>
        <v/>
      </c>
      <c r="H23" s="41" t="str">
        <f>IF('Project Data'!C30=0,"",'Project Data'!C30)</f>
        <v/>
      </c>
      <c r="I23" s="41" t="str">
        <f>IF('Project Data'!G30=0,"",'Project Data'!G30)</f>
        <v/>
      </c>
      <c r="J23" s="41" t="str">
        <f>IF('Project Data'!K30=0,"",'Project Data'!K30)</f>
        <v/>
      </c>
      <c r="K23" s="41" t="str">
        <f>IF('Project Data'!C40=0,"",'Project Data'!C40)</f>
        <v/>
      </c>
      <c r="L23" s="41" t="str">
        <f>IF('Project Data'!G40=0,"",'Project Data'!G40)</f>
        <v/>
      </c>
      <c r="M23" s="41" t="str">
        <f>IF('Project Data'!K40=0,"",'Project Data'!K40)</f>
        <v/>
      </c>
      <c r="N23" s="41" t="str">
        <f>IF('Project Data'!C50=0,"",'Project Data'!C50)</f>
        <v/>
      </c>
      <c r="O23" s="41" t="str">
        <f>IF('Project Data'!G50=0,"",'Project Data'!G50)</f>
        <v/>
      </c>
      <c r="P23" s="41" t="str">
        <f>IF('Project Data'!K50=0,"",'Project Data'!K50)</f>
        <v/>
      </c>
      <c r="Q23" s="41" t="str">
        <f>IF('Project Data'!C60=0,"",'Project Data'!C60)</f>
        <v/>
      </c>
      <c r="R23" s="41" t="str">
        <f>IF('Project Data'!G60=0,"",'Project Data'!G60)</f>
        <v/>
      </c>
      <c r="S23" s="41" t="str">
        <f>IF('Project Data'!K60=0,"",'Project Data'!K60)</f>
        <v/>
      </c>
      <c r="T23" s="41" t="str">
        <f>IF('Project Data'!C70=0,"",'Project Data'!C70)</f>
        <v/>
      </c>
      <c r="U23" s="41" t="str">
        <f>IF('Project Data'!G70=0,"",'Project Data'!G70)</f>
        <v/>
      </c>
      <c r="V23" s="36"/>
      <c r="W23" s="33"/>
      <c r="X23" s="70" t="s">
        <v>19</v>
      </c>
      <c r="Y23" s="70">
        <v>13</v>
      </c>
      <c r="Z23" s="33"/>
      <c r="AA23" s="33"/>
      <c r="AB23" s="33"/>
      <c r="AC23" s="33"/>
      <c r="AD23" s="33"/>
      <c r="AE23" s="33"/>
      <c r="AF23" s="33"/>
    </row>
    <row r="24" spans="1:33" ht="15.75" customHeight="1">
      <c r="A24" s="43"/>
      <c r="B24" s="43" t="str">
        <f>IF('Project Data'!C11=0,"",'Project Data'!C11)</f>
        <v/>
      </c>
      <c r="C24" s="44" t="str">
        <f>IF('Project Data'!G11=0,"",'Project Data'!G11)</f>
        <v/>
      </c>
      <c r="D24" s="44" t="str">
        <f>IF('Project Data'!K11=0,"",'Project Data'!K11)</f>
        <v/>
      </c>
      <c r="E24" s="44" t="str">
        <f>IF('Project Data'!C21=0,"",'Project Data'!C21)</f>
        <v/>
      </c>
      <c r="F24" s="44" t="str">
        <f>IF('Project Data'!G21=0,"",'Project Data'!G21)</f>
        <v/>
      </c>
      <c r="G24" s="44" t="str">
        <f>IF('Project Data'!K21=0,"",'Project Data'!K21)</f>
        <v/>
      </c>
      <c r="H24" s="44" t="str">
        <f>IF('Project Data'!C31=0,"",'Project Data'!C31)</f>
        <v/>
      </c>
      <c r="I24" s="44" t="str">
        <f>IF('Project Data'!G31=0,"",'Project Data'!G31)</f>
        <v/>
      </c>
      <c r="J24" s="44" t="str">
        <f>IF('Project Data'!K31=0,"",'Project Data'!K31)</f>
        <v/>
      </c>
      <c r="K24" s="44" t="str">
        <f>IF('Project Data'!C41=0,"",'Project Data'!C41)</f>
        <v/>
      </c>
      <c r="L24" s="44" t="str">
        <f>IF('Project Data'!G41=0,"",'Project Data'!G41)</f>
        <v/>
      </c>
      <c r="M24" s="44" t="str">
        <f>IF('Project Data'!K41=0,"",'Project Data'!K41)</f>
        <v/>
      </c>
      <c r="N24" s="44" t="str">
        <f>IF('Project Data'!C51=0,"",'Project Data'!C51)</f>
        <v/>
      </c>
      <c r="O24" s="44" t="str">
        <f>IF('Project Data'!G51=0,"",'Project Data'!G51)</f>
        <v/>
      </c>
      <c r="P24" s="44" t="str">
        <f>IF('Project Data'!K51=0,"",'Project Data'!K51)</f>
        <v/>
      </c>
      <c r="Q24" s="44" t="str">
        <f>IF('Project Data'!C61=0,"",'Project Data'!C61)</f>
        <v/>
      </c>
      <c r="R24" s="44" t="str">
        <f>IF('Project Data'!G61=0,"",'Project Data'!G61)</f>
        <v/>
      </c>
      <c r="S24" s="44" t="str">
        <f>IF('Project Data'!K61=0,"",'Project Data'!K61)</f>
        <v/>
      </c>
      <c r="T24" s="44" t="str">
        <f>IF('Project Data'!C71=0,"",'Project Data'!C71)</f>
        <v/>
      </c>
      <c r="U24" s="44" t="str">
        <f>IF('Project Data'!G71=0,"",'Project Data'!G71)</f>
        <v/>
      </c>
      <c r="V24" s="36"/>
      <c r="W24" s="33"/>
      <c r="X24" s="70" t="s">
        <v>20</v>
      </c>
      <c r="Y24" s="70">
        <v>14</v>
      </c>
      <c r="Z24" s="33"/>
      <c r="AA24" s="33"/>
      <c r="AB24" s="33"/>
      <c r="AC24" s="33"/>
      <c r="AD24" s="33"/>
      <c r="AE24" s="33"/>
      <c r="AF24" s="33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1:33" ht="15.75" customHeight="1">
      <c r="A26" s="2"/>
      <c r="B26" s="68" t="s">
        <v>42</v>
      </c>
      <c r="C26" s="68" t="s">
        <v>43</v>
      </c>
      <c r="D26" s="68" t="s">
        <v>34</v>
      </c>
      <c r="E26" s="68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3"/>
      <c r="Y26" s="33"/>
      <c r="Z26" s="33"/>
      <c r="AA26" s="33"/>
      <c r="AB26" s="33"/>
      <c r="AC26" s="33"/>
      <c r="AD26" s="33"/>
      <c r="AE26" s="33"/>
      <c r="AF26" s="33"/>
      <c r="AG26" s="33"/>
    </row>
    <row r="27" spans="1:33" ht="15.75" customHeight="1">
      <c r="A27" s="82" t="s">
        <v>123</v>
      </c>
      <c r="B27" s="68" t="s">
        <v>124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3"/>
      <c r="X27" s="69" t="s">
        <v>41</v>
      </c>
      <c r="Y27" s="70" cm="1">
        <f t="array" ref="Y27">SUMPRODUCT($Y$5:$Y$24,TRANSPOSE(B3:U3))</f>
        <v>234</v>
      </c>
      <c r="Z27" s="33"/>
      <c r="AA27" s="33"/>
      <c r="AB27" s="33"/>
      <c r="AC27" s="33"/>
      <c r="AD27" s="33"/>
      <c r="AE27" s="33"/>
      <c r="AF27" s="33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3"/>
      <c r="X28" s="33"/>
      <c r="Y28" s="33"/>
      <c r="Z28" s="33"/>
      <c r="AA28" s="33"/>
      <c r="AB28" s="33"/>
      <c r="AC28" s="33"/>
      <c r="AD28" s="33"/>
      <c r="AE28" s="33"/>
      <c r="AF28" s="33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3"/>
      <c r="X29" s="33"/>
      <c r="Y29" s="33"/>
      <c r="Z29" s="33"/>
      <c r="AA29" s="33"/>
      <c r="AB29" s="33"/>
      <c r="AC29" s="33"/>
      <c r="AD29" s="33"/>
      <c r="AE29" s="33"/>
      <c r="AF29" s="33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68"/>
      <c r="R30" s="1"/>
      <c r="S30" s="1"/>
      <c r="T30" s="1"/>
      <c r="U30" s="1"/>
      <c r="V30" s="1"/>
      <c r="W30" s="33"/>
      <c r="X30" s="33"/>
      <c r="Y30" s="33"/>
      <c r="Z30" s="33"/>
      <c r="AA30" s="33"/>
      <c r="AB30" s="33"/>
      <c r="AC30" s="33"/>
      <c r="AD30" s="33"/>
      <c r="AE30" s="33"/>
      <c r="AF30" s="33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3"/>
      <c r="X31" s="33"/>
      <c r="Y31" s="33"/>
      <c r="Z31" s="33"/>
      <c r="AA31" s="33"/>
      <c r="AB31" s="33"/>
      <c r="AC31" s="33"/>
      <c r="AD31" s="33"/>
      <c r="AE31" s="33"/>
      <c r="AF31" s="33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3"/>
      <c r="X32" s="33"/>
      <c r="Y32" s="33"/>
      <c r="Z32" s="33"/>
      <c r="AA32" s="33"/>
      <c r="AB32" s="33"/>
      <c r="AC32" s="33"/>
      <c r="AD32" s="33"/>
      <c r="AE32" s="33"/>
      <c r="AF32" s="33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3"/>
      <c r="X36" s="33"/>
      <c r="Y36" s="33"/>
      <c r="Z36" s="33"/>
      <c r="AA36" s="33"/>
      <c r="AB36" s="33"/>
      <c r="AC36" s="33"/>
      <c r="AD36" s="33"/>
      <c r="AE36" s="33"/>
      <c r="AF36" s="33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3"/>
      <c r="X37" s="33"/>
      <c r="Y37" s="33"/>
      <c r="Z37" s="33"/>
      <c r="AA37" s="33"/>
      <c r="AB37" s="33"/>
      <c r="AC37" s="33"/>
      <c r="AD37" s="33"/>
      <c r="AE37" s="33"/>
      <c r="AF37" s="33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3"/>
      <c r="X38" s="33"/>
      <c r="Y38" s="33"/>
      <c r="Z38" s="33"/>
      <c r="AA38" s="33"/>
      <c r="AB38" s="33"/>
      <c r="AC38" s="33"/>
      <c r="AD38" s="33"/>
      <c r="AE38" s="33"/>
      <c r="AF38" s="33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3"/>
      <c r="X39" s="33"/>
      <c r="Y39" s="33"/>
      <c r="Z39" s="33"/>
      <c r="AA39" s="33"/>
      <c r="AB39" s="33"/>
      <c r="AC39" s="33"/>
      <c r="AD39" s="33"/>
      <c r="AE39" s="33"/>
      <c r="AF39" s="33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3"/>
      <c r="X40" s="33"/>
      <c r="Y40" s="33"/>
      <c r="Z40" s="33"/>
      <c r="AA40" s="33"/>
      <c r="AB40" s="33"/>
      <c r="AC40" s="33"/>
      <c r="AD40" s="33"/>
      <c r="AE40" s="33"/>
      <c r="AF40" s="33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3"/>
      <c r="X41" s="33"/>
      <c r="Y41" s="33"/>
      <c r="Z41" s="33"/>
      <c r="AA41" s="33"/>
      <c r="AB41" s="33"/>
      <c r="AC41" s="33"/>
      <c r="AD41" s="33"/>
      <c r="AE41" s="33"/>
      <c r="AF41" s="33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3"/>
      <c r="X45" s="33"/>
      <c r="Y45" s="33"/>
      <c r="Z45" s="33"/>
      <c r="AA45" s="33"/>
      <c r="AB45" s="33"/>
      <c r="AC45" s="33"/>
      <c r="AD45" s="33"/>
      <c r="AE45" s="33"/>
      <c r="AF45" s="33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3"/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3"/>
      <c r="X47" s="33"/>
      <c r="Y47" s="33"/>
      <c r="Z47" s="33"/>
      <c r="AA47" s="33"/>
      <c r="AB47" s="33"/>
      <c r="AC47" s="33"/>
      <c r="AD47" s="33"/>
      <c r="AE47" s="33"/>
      <c r="AF47" s="33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3"/>
      <c r="X48" s="33"/>
      <c r="Y48" s="33"/>
      <c r="Z48" s="33"/>
      <c r="AA48" s="33"/>
      <c r="AB48" s="33"/>
      <c r="AC48" s="33"/>
      <c r="AD48" s="33"/>
      <c r="AE48" s="33"/>
      <c r="AF48" s="33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3"/>
      <c r="X49" s="33"/>
      <c r="Y49" s="33"/>
      <c r="Z49" s="33"/>
      <c r="AA49" s="33"/>
      <c r="AB49" s="33"/>
      <c r="AC49" s="33"/>
      <c r="AD49" s="33"/>
      <c r="AE49" s="33"/>
      <c r="AF49" s="33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3"/>
      <c r="X50" s="33"/>
      <c r="Y50" s="33"/>
      <c r="Z50" s="33"/>
      <c r="AA50" s="33"/>
      <c r="AB50" s="33"/>
      <c r="AC50" s="33"/>
      <c r="AD50" s="33"/>
      <c r="AE50" s="33"/>
      <c r="AF50" s="33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3"/>
      <c r="X54" s="33"/>
      <c r="Y54" s="33"/>
      <c r="Z54" s="33"/>
      <c r="AA54" s="33"/>
      <c r="AB54" s="33"/>
      <c r="AC54" s="33"/>
      <c r="AD54" s="33"/>
      <c r="AE54" s="33"/>
      <c r="AF54" s="33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3"/>
      <c r="X55" s="33"/>
      <c r="Y55" s="33"/>
      <c r="Z55" s="33"/>
      <c r="AA55" s="33"/>
      <c r="AB55" s="33"/>
      <c r="AC55" s="33"/>
      <c r="AD55" s="33"/>
      <c r="AE55" s="33"/>
      <c r="AF55" s="33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3"/>
      <c r="X56" s="33"/>
      <c r="Y56" s="33"/>
      <c r="Z56" s="33"/>
      <c r="AA56" s="33"/>
      <c r="AB56" s="33"/>
      <c r="AC56" s="33"/>
      <c r="AD56" s="33"/>
      <c r="AE56" s="33"/>
      <c r="AF56" s="33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3"/>
      <c r="X57" s="33"/>
      <c r="Y57" s="33"/>
      <c r="Z57" s="33"/>
      <c r="AA57" s="33"/>
      <c r="AB57" s="33"/>
      <c r="AC57" s="33"/>
      <c r="AD57" s="33"/>
      <c r="AE57" s="33"/>
      <c r="AF57" s="33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3"/>
      <c r="X58" s="33"/>
      <c r="Y58" s="33"/>
      <c r="Z58" s="33"/>
      <c r="AA58" s="33"/>
      <c r="AB58" s="33"/>
      <c r="AC58" s="33"/>
      <c r="AD58" s="33"/>
      <c r="AE58" s="33"/>
      <c r="AF58" s="33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3"/>
      <c r="X59" s="33"/>
      <c r="Y59" s="33"/>
      <c r="Z59" s="33"/>
      <c r="AA59" s="33"/>
      <c r="AB59" s="33"/>
      <c r="AC59" s="33"/>
      <c r="AD59" s="33"/>
      <c r="AE59" s="33"/>
      <c r="AF59" s="33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3"/>
      <c r="X63" s="33"/>
      <c r="Y63" s="33"/>
      <c r="Z63" s="33"/>
      <c r="AA63" s="33"/>
      <c r="AB63" s="33"/>
      <c r="AC63" s="33"/>
      <c r="AD63" s="33"/>
      <c r="AE63" s="33"/>
      <c r="AF63" s="33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3"/>
      <c r="X64" s="33"/>
      <c r="Y64" s="33"/>
      <c r="Z64" s="33"/>
      <c r="AA64" s="33"/>
      <c r="AB64" s="33"/>
      <c r="AC64" s="33"/>
      <c r="AD64" s="33"/>
      <c r="AE64" s="33"/>
      <c r="AF64" s="33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3"/>
      <c r="X65" s="33"/>
      <c r="Y65" s="33"/>
      <c r="Z65" s="33"/>
      <c r="AA65" s="33"/>
      <c r="AB65" s="33"/>
      <c r="AC65" s="33"/>
      <c r="AD65" s="33"/>
      <c r="AE65" s="33"/>
      <c r="AF65" s="33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3"/>
      <c r="X66" s="33"/>
      <c r="Y66" s="33"/>
      <c r="Z66" s="33"/>
      <c r="AA66" s="33"/>
      <c r="AB66" s="33"/>
      <c r="AC66" s="33"/>
      <c r="AD66" s="33"/>
      <c r="AE66" s="33"/>
      <c r="AF66" s="33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3"/>
      <c r="X67" s="33"/>
      <c r="Y67" s="33"/>
      <c r="Z67" s="33"/>
      <c r="AA67" s="33"/>
      <c r="AB67" s="33"/>
      <c r="AC67" s="33"/>
      <c r="AD67" s="33"/>
      <c r="AE67" s="33"/>
      <c r="AF67" s="33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3"/>
      <c r="X68" s="33"/>
      <c r="Y68" s="33"/>
      <c r="Z68" s="33"/>
      <c r="AA68" s="33"/>
      <c r="AB68" s="33"/>
      <c r="AC68" s="33"/>
      <c r="AD68" s="33"/>
      <c r="AE68" s="33"/>
      <c r="AF68" s="33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3"/>
      <c r="X72" s="33"/>
      <c r="Y72" s="33"/>
      <c r="Z72" s="33"/>
      <c r="AA72" s="33"/>
      <c r="AB72" s="33"/>
      <c r="AC72" s="33"/>
      <c r="AD72" s="33"/>
      <c r="AE72" s="33"/>
      <c r="AF72" s="33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3"/>
      <c r="X73" s="33"/>
      <c r="Y73" s="33"/>
      <c r="Z73" s="33"/>
      <c r="AA73" s="33"/>
      <c r="AB73" s="33"/>
      <c r="AC73" s="33"/>
      <c r="AD73" s="33"/>
      <c r="AE73" s="33"/>
      <c r="AF73" s="33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3"/>
      <c r="X74" s="33"/>
      <c r="Y74" s="33"/>
      <c r="Z74" s="33"/>
      <c r="AA74" s="33"/>
      <c r="AB74" s="33"/>
      <c r="AC74" s="33"/>
      <c r="AD74" s="33"/>
      <c r="AE74" s="33"/>
      <c r="AF74" s="33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3"/>
      <c r="X75" s="33"/>
      <c r="Y75" s="33"/>
      <c r="Z75" s="33"/>
      <c r="AA75" s="33"/>
      <c r="AB75" s="33"/>
      <c r="AC75" s="33"/>
      <c r="AD75" s="33"/>
      <c r="AE75" s="33"/>
      <c r="AF75" s="33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3"/>
      <c r="X76" s="33"/>
      <c r="Y76" s="33"/>
      <c r="Z76" s="33"/>
      <c r="AA76" s="33"/>
      <c r="AB76" s="33"/>
      <c r="AC76" s="33"/>
      <c r="AD76" s="33"/>
      <c r="AE76" s="33"/>
      <c r="AF76" s="33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3"/>
      <c r="X77" s="33"/>
      <c r="Y77" s="33"/>
      <c r="Z77" s="33"/>
      <c r="AA77" s="33"/>
      <c r="AB77" s="33"/>
      <c r="AC77" s="33"/>
      <c r="AD77" s="33"/>
      <c r="AE77" s="33"/>
      <c r="AF77" s="33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3"/>
      <c r="X81" s="33"/>
      <c r="Y81" s="33"/>
      <c r="Z81" s="33"/>
      <c r="AA81" s="33"/>
      <c r="AB81" s="33"/>
      <c r="AC81" s="33"/>
      <c r="AD81" s="33"/>
      <c r="AE81" s="33"/>
      <c r="AF81" s="33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3"/>
      <c r="X82" s="33"/>
      <c r="Y82" s="33"/>
      <c r="Z82" s="33"/>
      <c r="AA82" s="33"/>
      <c r="AB82" s="33"/>
      <c r="AC82" s="33"/>
      <c r="AD82" s="33"/>
      <c r="AE82" s="33"/>
      <c r="AF82" s="33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3"/>
      <c r="X83" s="33"/>
      <c r="Y83" s="33"/>
      <c r="Z83" s="33"/>
      <c r="AA83" s="33"/>
      <c r="AB83" s="33"/>
      <c r="AC83" s="33"/>
      <c r="AD83" s="33"/>
      <c r="AE83" s="33"/>
      <c r="AF83" s="33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3"/>
      <c r="X84" s="33"/>
      <c r="Y84" s="33"/>
      <c r="Z84" s="33"/>
      <c r="AA84" s="33"/>
      <c r="AB84" s="33"/>
      <c r="AC84" s="33"/>
      <c r="AD84" s="33"/>
      <c r="AE84" s="33"/>
      <c r="AF84" s="33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3"/>
      <c r="X85" s="33"/>
      <c r="Y85" s="33"/>
      <c r="Z85" s="33"/>
      <c r="AA85" s="33"/>
      <c r="AB85" s="33"/>
      <c r="AC85" s="33"/>
      <c r="AD85" s="33"/>
      <c r="AE85" s="33"/>
      <c r="AF85" s="33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3"/>
      <c r="X86" s="33"/>
      <c r="Y86" s="33"/>
      <c r="Z86" s="33"/>
      <c r="AA86" s="33"/>
      <c r="AB86" s="33"/>
      <c r="AC86" s="33"/>
      <c r="AD86" s="33"/>
      <c r="AE86" s="33"/>
      <c r="AF86" s="33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3"/>
      <c r="X90" s="33"/>
      <c r="Y90" s="33"/>
      <c r="Z90" s="33"/>
      <c r="AA90" s="33"/>
      <c r="AB90" s="33"/>
      <c r="AC90" s="33"/>
      <c r="AD90" s="33"/>
      <c r="AE90" s="33"/>
      <c r="AF90" s="33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3"/>
      <c r="X91" s="33"/>
      <c r="Y91" s="33"/>
      <c r="Z91" s="33"/>
      <c r="AA91" s="33"/>
      <c r="AB91" s="33"/>
      <c r="AC91" s="33"/>
      <c r="AD91" s="33"/>
      <c r="AE91" s="33"/>
      <c r="AF91" s="33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3"/>
      <c r="X92" s="33"/>
      <c r="Y92" s="33"/>
      <c r="Z92" s="33"/>
      <c r="AA92" s="33"/>
      <c r="AB92" s="33"/>
      <c r="AC92" s="33"/>
      <c r="AD92" s="33"/>
      <c r="AE92" s="33"/>
      <c r="AF92" s="33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3"/>
      <c r="X93" s="33"/>
      <c r="Y93" s="33"/>
      <c r="Z93" s="33"/>
      <c r="AA93" s="33"/>
      <c r="AB93" s="33"/>
      <c r="AC93" s="33"/>
      <c r="AD93" s="33"/>
      <c r="AE93" s="33"/>
      <c r="AF93" s="33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3"/>
      <c r="X94" s="33"/>
      <c r="Y94" s="33"/>
      <c r="Z94" s="33"/>
      <c r="AA94" s="33"/>
      <c r="AB94" s="33"/>
      <c r="AC94" s="33"/>
      <c r="AD94" s="33"/>
      <c r="AE94" s="33"/>
      <c r="AF94" s="33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3"/>
      <c r="X95" s="33"/>
      <c r="Y95" s="33"/>
      <c r="Z95" s="33"/>
      <c r="AA95" s="33"/>
      <c r="AB95" s="33"/>
      <c r="AC95" s="33"/>
      <c r="AD95" s="33"/>
      <c r="AE95" s="33"/>
      <c r="AF95" s="33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3"/>
      <c r="X99" s="33"/>
      <c r="Y99" s="33"/>
      <c r="Z99" s="33"/>
      <c r="AA99" s="33"/>
      <c r="AB99" s="33"/>
      <c r="AC99" s="33"/>
      <c r="AD99" s="33"/>
      <c r="AE99" s="33"/>
      <c r="AF99" s="33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</row>
    <row r="993" spans="24:25" ht="15" customHeight="1">
      <c r="X993" s="33"/>
      <c r="Y993" s="33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topLeftCell="A11" workbookViewId="0">
      <selection activeCell="G29" sqref="G29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8" t="s">
        <v>34</v>
      </c>
      <c r="B1" s="8" t="s">
        <v>42</v>
      </c>
      <c r="C1" s="8" t="s">
        <v>43</v>
      </c>
      <c r="D1" s="8" t="s">
        <v>44</v>
      </c>
      <c r="E1" s="8" t="s">
        <v>34</v>
      </c>
      <c r="F1" s="8" t="s">
        <v>42</v>
      </c>
      <c r="G1" s="8" t="s">
        <v>43</v>
      </c>
      <c r="H1" s="8" t="s">
        <v>44</v>
      </c>
      <c r="I1" s="8" t="s">
        <v>34</v>
      </c>
      <c r="J1" s="8" t="s">
        <v>42</v>
      </c>
      <c r="K1" s="8" t="s">
        <v>43</v>
      </c>
      <c r="L1" s="9" t="s">
        <v>44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8"/>
    </row>
    <row r="2" spans="1:27" ht="16">
      <c r="A2" s="10" t="s">
        <v>1</v>
      </c>
      <c r="B2" s="1"/>
      <c r="C2" s="1"/>
      <c r="D2" s="1"/>
      <c r="E2" s="11" t="s">
        <v>2</v>
      </c>
      <c r="F2" s="1"/>
      <c r="G2" s="1"/>
      <c r="H2" s="1"/>
      <c r="I2" s="11" t="s">
        <v>3</v>
      </c>
      <c r="J2" s="1"/>
      <c r="K2" s="1"/>
      <c r="L2" s="8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6">
      <c r="A3" s="10"/>
      <c r="B3" s="1"/>
      <c r="C3" s="1"/>
      <c r="D3" s="1"/>
      <c r="E3" s="11"/>
      <c r="F3" s="1"/>
      <c r="G3" s="1"/>
      <c r="H3" s="1"/>
      <c r="I3" s="11"/>
      <c r="J3" s="1"/>
      <c r="K3" s="1"/>
      <c r="L3" s="8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6">
      <c r="A4" s="10"/>
      <c r="B4" s="1"/>
      <c r="C4" s="1"/>
      <c r="D4" s="1"/>
      <c r="E4" s="11"/>
      <c r="F4" s="1"/>
      <c r="G4" s="1"/>
      <c r="H4" s="1"/>
      <c r="I4" s="11"/>
      <c r="J4" s="1"/>
      <c r="K4" s="1"/>
      <c r="L4" s="8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6">
      <c r="A5" s="10"/>
      <c r="B5" s="1"/>
      <c r="C5" s="1"/>
      <c r="D5" s="1"/>
      <c r="E5" s="11"/>
      <c r="F5" s="1"/>
      <c r="G5" s="1"/>
      <c r="H5" s="1"/>
      <c r="I5" s="11"/>
      <c r="J5" s="1"/>
      <c r="K5" s="1"/>
      <c r="L5" s="8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6">
      <c r="A6" s="10"/>
      <c r="B6" s="1"/>
      <c r="C6" s="1"/>
      <c r="D6" s="1"/>
      <c r="E6" s="11"/>
      <c r="F6" s="1"/>
      <c r="G6" s="1"/>
      <c r="H6" s="1"/>
      <c r="I6" s="11"/>
      <c r="J6" s="1"/>
      <c r="K6" s="1"/>
      <c r="L6" s="8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6">
      <c r="A7" s="10"/>
      <c r="B7" s="1"/>
      <c r="C7" s="1"/>
      <c r="D7" s="1"/>
      <c r="E7" s="11"/>
      <c r="F7" s="1"/>
      <c r="G7" s="1"/>
      <c r="H7" s="1"/>
      <c r="I7" s="11"/>
      <c r="J7" s="1"/>
      <c r="K7" s="1"/>
      <c r="L7" s="8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6">
      <c r="A8" s="10"/>
      <c r="B8" s="1"/>
      <c r="C8" s="1"/>
      <c r="D8" s="1"/>
      <c r="E8" s="11"/>
      <c r="F8" s="1"/>
      <c r="G8" s="1"/>
      <c r="H8" s="1"/>
      <c r="I8" s="11"/>
      <c r="J8" s="1"/>
      <c r="K8" s="1"/>
      <c r="L8" s="8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6">
      <c r="A9" s="10"/>
      <c r="B9" s="1"/>
      <c r="C9" s="1"/>
      <c r="D9" s="1"/>
      <c r="E9" s="11"/>
      <c r="F9" s="1"/>
      <c r="G9" s="1"/>
      <c r="H9" s="1"/>
      <c r="I9" s="11"/>
      <c r="J9" s="1"/>
      <c r="K9" s="1"/>
      <c r="L9" s="8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6">
      <c r="A10" s="10"/>
      <c r="B10" s="1"/>
      <c r="C10" s="1"/>
      <c r="D10" s="1"/>
      <c r="E10" s="11"/>
      <c r="F10" s="1"/>
      <c r="G10" s="1"/>
      <c r="H10" s="1"/>
      <c r="I10" s="11"/>
      <c r="J10" s="1"/>
      <c r="K10" s="1"/>
      <c r="L10" s="8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6">
      <c r="A11" s="10"/>
      <c r="B11" s="1"/>
      <c r="C11" s="1"/>
      <c r="D11" s="1"/>
      <c r="E11" s="11"/>
      <c r="F11" s="1"/>
      <c r="G11" s="1"/>
      <c r="H11" s="1"/>
      <c r="I11" s="11"/>
      <c r="J11" s="1"/>
      <c r="K11" s="1"/>
      <c r="L11" s="8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6">
      <c r="A12" s="12" t="s">
        <v>4</v>
      </c>
      <c r="B12" s="5"/>
      <c r="C12" s="5"/>
      <c r="D12" s="5"/>
      <c r="E12" s="14" t="s">
        <v>5</v>
      </c>
      <c r="F12" s="5"/>
      <c r="G12" s="5"/>
      <c r="H12" s="5"/>
      <c r="I12" s="14" t="s">
        <v>6</v>
      </c>
      <c r="J12" s="5"/>
      <c r="K12" s="5"/>
      <c r="L12" s="87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3"/>
    </row>
    <row r="13" spans="1:27" ht="16">
      <c r="A13" s="10"/>
      <c r="B13" s="1"/>
      <c r="C13" s="1"/>
      <c r="D13" s="1"/>
      <c r="E13" s="11"/>
      <c r="F13" s="1"/>
      <c r="G13" s="1"/>
      <c r="H13" s="1"/>
      <c r="I13" s="11"/>
      <c r="J13" s="1"/>
      <c r="K13" s="1"/>
      <c r="L13" s="8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6">
      <c r="A14" s="10"/>
      <c r="B14" s="1"/>
      <c r="C14" s="1"/>
      <c r="D14" s="1"/>
      <c r="E14" s="11"/>
      <c r="F14" s="1"/>
      <c r="G14" s="1"/>
      <c r="H14" s="1"/>
      <c r="I14" s="11"/>
      <c r="J14" s="1"/>
      <c r="K14" s="1"/>
      <c r="L14" s="8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6">
      <c r="A15" s="10"/>
      <c r="B15" s="1"/>
      <c r="C15" s="1"/>
      <c r="D15" s="1"/>
      <c r="E15" s="11"/>
      <c r="F15" s="1"/>
      <c r="G15" s="1"/>
      <c r="H15" s="1"/>
      <c r="I15" s="11"/>
      <c r="J15" s="1"/>
      <c r="K15" s="1"/>
      <c r="L15" s="8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6">
      <c r="A16" s="10"/>
      <c r="B16" s="1"/>
      <c r="C16" s="1"/>
      <c r="D16" s="1"/>
      <c r="E16" s="11"/>
      <c r="F16" s="1"/>
      <c r="G16" s="1"/>
      <c r="H16" s="1"/>
      <c r="I16" s="11"/>
      <c r="J16" s="1"/>
      <c r="K16" s="1"/>
      <c r="L16" s="8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6">
      <c r="A17" s="10"/>
      <c r="B17" s="1"/>
      <c r="C17" s="1"/>
      <c r="D17" s="1"/>
      <c r="E17" s="11"/>
      <c r="F17" s="1"/>
      <c r="G17" s="1"/>
      <c r="H17" s="1"/>
      <c r="I17" s="11"/>
      <c r="J17" s="1"/>
      <c r="K17" s="1"/>
      <c r="L17" s="8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6">
      <c r="A18" s="10"/>
      <c r="B18" s="1"/>
      <c r="C18" s="1"/>
      <c r="D18" s="1"/>
      <c r="E18" s="11"/>
      <c r="F18" s="1"/>
      <c r="G18" s="1"/>
      <c r="H18" s="1"/>
      <c r="I18" s="11"/>
      <c r="J18" s="1"/>
      <c r="K18" s="1"/>
      <c r="L18" s="8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6">
      <c r="A19" s="10"/>
      <c r="B19" s="1"/>
      <c r="C19" s="1"/>
      <c r="D19" s="1"/>
      <c r="E19" s="11"/>
      <c r="F19" s="1"/>
      <c r="G19" s="1"/>
      <c r="H19" s="1"/>
      <c r="I19" s="11"/>
      <c r="J19" s="1"/>
      <c r="K19" s="1"/>
      <c r="L19" s="8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6">
      <c r="A20" s="10"/>
      <c r="B20" s="1"/>
      <c r="C20" s="1"/>
      <c r="D20" s="1"/>
      <c r="E20" s="11"/>
      <c r="F20" s="1"/>
      <c r="G20" s="1"/>
      <c r="H20" s="1"/>
      <c r="I20" s="11"/>
      <c r="J20" s="1"/>
      <c r="K20" s="1"/>
      <c r="L20" s="8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6">
      <c r="A21" s="10"/>
      <c r="B21" s="1"/>
      <c r="C21" s="1"/>
      <c r="D21" s="1"/>
      <c r="E21" s="11"/>
      <c r="F21" s="1"/>
      <c r="G21" s="1"/>
      <c r="H21" s="1"/>
      <c r="I21" s="11"/>
      <c r="J21" s="1"/>
      <c r="K21" s="1"/>
      <c r="L21" s="8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6">
      <c r="A22" s="12" t="s">
        <v>7</v>
      </c>
      <c r="B22" s="4"/>
      <c r="C22" s="5"/>
      <c r="D22" s="5"/>
      <c r="E22" s="14" t="s">
        <v>8</v>
      </c>
      <c r="F22" s="4">
        <v>45603</v>
      </c>
      <c r="G22" s="5" t="s">
        <v>151</v>
      </c>
      <c r="H22" s="5" t="s">
        <v>56</v>
      </c>
      <c r="I22" s="14" t="s">
        <v>9</v>
      </c>
      <c r="J22" s="5"/>
      <c r="K22" s="5"/>
      <c r="L22" s="87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13"/>
    </row>
    <row r="23" spans="1:27" ht="16">
      <c r="A23" s="10"/>
      <c r="B23" s="3"/>
      <c r="C23" s="1"/>
      <c r="D23" s="93"/>
      <c r="E23" s="3"/>
      <c r="F23" s="3">
        <v>45603</v>
      </c>
      <c r="G23" s="1" t="s">
        <v>152</v>
      </c>
      <c r="H23" s="1" t="s">
        <v>56</v>
      </c>
      <c r="I23" s="11"/>
      <c r="J23" s="1"/>
      <c r="K23" s="1"/>
      <c r="L23" s="8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6">
      <c r="A24" s="10"/>
      <c r="B24" s="1"/>
      <c r="C24" s="1"/>
      <c r="D24" s="1"/>
      <c r="E24" s="11"/>
      <c r="F24" s="1"/>
      <c r="G24" s="1"/>
      <c r="H24" s="1"/>
      <c r="I24" s="11"/>
      <c r="J24" s="1"/>
      <c r="K24" s="1"/>
      <c r="L24" s="8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6">
      <c r="A25" s="10"/>
      <c r="B25" s="1"/>
      <c r="C25" s="1"/>
      <c r="D25" s="1"/>
      <c r="E25" s="11"/>
      <c r="F25" s="1"/>
      <c r="G25" s="1"/>
      <c r="H25" s="1"/>
      <c r="I25" s="11"/>
      <c r="J25" s="1"/>
      <c r="K25" s="1"/>
      <c r="L25" s="8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6">
      <c r="A28" s="10"/>
      <c r="B28" s="1"/>
      <c r="C28" s="1"/>
      <c r="D28" s="1"/>
      <c r="E28" s="11"/>
      <c r="F28" s="1"/>
      <c r="G28" s="1"/>
      <c r="H28" s="1"/>
      <c r="I28" s="11"/>
      <c r="J28" s="1"/>
      <c r="K28" s="1"/>
      <c r="L28" s="8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6">
      <c r="A29" s="10"/>
      <c r="B29" s="1"/>
      <c r="C29" s="1"/>
      <c r="D29" s="1"/>
      <c r="E29" s="11"/>
      <c r="F29" s="1"/>
      <c r="G29" s="1"/>
      <c r="H29" s="1"/>
      <c r="I29" s="11"/>
      <c r="J29" s="1"/>
      <c r="K29" s="1"/>
      <c r="L29" s="8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4.25" customHeight="1">
      <c r="A30" s="10"/>
      <c r="B30" s="1"/>
      <c r="C30" s="1"/>
      <c r="D30" s="1"/>
      <c r="E30" s="11"/>
      <c r="F30" s="1"/>
      <c r="G30" s="1"/>
      <c r="H30" s="1"/>
      <c r="I30" s="11"/>
      <c r="J30" s="1"/>
      <c r="K30" s="1"/>
      <c r="L30" s="8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6">
      <c r="A31" s="10"/>
      <c r="B31" s="1"/>
      <c r="C31" s="1"/>
      <c r="D31" s="1"/>
      <c r="E31" s="11"/>
      <c r="F31" s="1"/>
      <c r="G31" s="1"/>
      <c r="H31" s="1"/>
      <c r="I31" s="11"/>
      <c r="J31" s="1"/>
      <c r="K31" s="1"/>
      <c r="L31" s="8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6">
      <c r="A32" s="12" t="s">
        <v>10</v>
      </c>
      <c r="B32" s="4">
        <v>45603</v>
      </c>
      <c r="C32" s="5" t="s">
        <v>153</v>
      </c>
      <c r="D32" s="5" t="s">
        <v>56</v>
      </c>
      <c r="E32" s="14" t="s">
        <v>11</v>
      </c>
      <c r="F32" s="4">
        <v>45566</v>
      </c>
      <c r="G32" s="5" t="s">
        <v>154</v>
      </c>
      <c r="H32" s="5" t="s">
        <v>56</v>
      </c>
      <c r="I32" s="14" t="s">
        <v>12</v>
      </c>
      <c r="J32" s="4">
        <v>45442</v>
      </c>
      <c r="K32" s="5" t="s">
        <v>103</v>
      </c>
      <c r="L32" s="15" t="s">
        <v>84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13"/>
    </row>
    <row r="33" spans="1:27" ht="16">
      <c r="A33" s="10"/>
      <c r="B33" s="1"/>
      <c r="C33" s="1"/>
      <c r="D33" s="1"/>
      <c r="E33" s="11"/>
      <c r="F33" s="3">
        <v>45584</v>
      </c>
      <c r="G33" s="1" t="s">
        <v>120</v>
      </c>
      <c r="H33" s="1" t="s">
        <v>56</v>
      </c>
      <c r="I33" s="11"/>
      <c r="J33" s="3">
        <v>45505</v>
      </c>
      <c r="K33" s="1" t="s">
        <v>104</v>
      </c>
      <c r="L33" s="7" t="s">
        <v>84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6">
      <c r="A34" s="10"/>
      <c r="B34" s="1"/>
      <c r="C34" s="1"/>
      <c r="D34" s="1"/>
      <c r="E34" s="11"/>
      <c r="F34" s="1"/>
      <c r="G34" s="1"/>
      <c r="H34" s="1"/>
      <c r="I34" s="11"/>
      <c r="J34" s="3">
        <v>45580</v>
      </c>
      <c r="K34" s="1" t="s">
        <v>105</v>
      </c>
      <c r="L34" s="7" t="s">
        <v>49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6">
      <c r="A35" s="10"/>
      <c r="B35" s="1"/>
      <c r="C35" s="1"/>
      <c r="D35" s="1"/>
      <c r="E35" s="11"/>
      <c r="F35" s="1"/>
      <c r="G35" s="1"/>
      <c r="H35" s="1"/>
      <c r="I35" s="11"/>
      <c r="J35" s="3">
        <v>45598</v>
      </c>
      <c r="K35" s="1" t="s">
        <v>155</v>
      </c>
      <c r="L35" s="7" t="s">
        <v>156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6">
      <c r="A36" s="10"/>
      <c r="B36" s="1"/>
      <c r="C36" s="1"/>
      <c r="D36" s="1"/>
      <c r="E36" s="11"/>
      <c r="F36" s="1"/>
      <c r="G36" s="1"/>
      <c r="H36" s="1"/>
      <c r="I36" s="11"/>
      <c r="J36" s="3"/>
      <c r="K36" s="1"/>
      <c r="L36" s="1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6">
      <c r="A37" s="10"/>
      <c r="B37" s="1"/>
      <c r="C37" s="1"/>
      <c r="D37" s="1"/>
      <c r="E37" s="11"/>
      <c r="F37" s="1"/>
      <c r="G37" s="1"/>
      <c r="H37" s="1"/>
      <c r="I37" s="11"/>
      <c r="J37" s="1"/>
      <c r="K37" s="1"/>
      <c r="L37" s="8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6">
      <c r="A38" s="10"/>
      <c r="B38" s="1"/>
      <c r="C38" s="1"/>
      <c r="D38" s="1"/>
      <c r="E38" s="11"/>
      <c r="F38" s="1"/>
      <c r="G38" s="1"/>
      <c r="H38" s="1"/>
      <c r="I38" s="11"/>
      <c r="J38" s="1"/>
      <c r="K38" s="1"/>
      <c r="L38" s="8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6">
      <c r="A39" s="10"/>
      <c r="B39" s="1"/>
      <c r="C39" s="1"/>
      <c r="D39" s="1"/>
      <c r="E39" s="11"/>
      <c r="F39" s="1"/>
      <c r="G39" s="1"/>
      <c r="H39" s="1"/>
      <c r="I39" s="11"/>
      <c r="J39" s="1"/>
      <c r="K39" s="1"/>
      <c r="L39" s="8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6">
      <c r="A40" s="10"/>
      <c r="B40" s="1"/>
      <c r="C40" s="1"/>
      <c r="D40" s="1"/>
      <c r="E40" s="11"/>
      <c r="F40" s="1"/>
      <c r="G40" s="1"/>
      <c r="H40" s="1"/>
      <c r="I40" s="11"/>
      <c r="J40" s="1"/>
      <c r="K40" s="1"/>
      <c r="L40" s="8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6">
      <c r="A41" s="10"/>
      <c r="B41" s="1"/>
      <c r="C41" s="1"/>
      <c r="D41" s="1"/>
      <c r="E41" s="11"/>
      <c r="F41" s="1"/>
      <c r="G41" s="1"/>
      <c r="H41" s="1"/>
      <c r="I41" s="11"/>
      <c r="J41" s="1"/>
      <c r="K41" s="1"/>
      <c r="L41" s="8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6">
      <c r="A42" s="12" t="s">
        <v>13</v>
      </c>
      <c r="B42" s="4">
        <v>45560</v>
      </c>
      <c r="C42" s="5" t="s">
        <v>106</v>
      </c>
      <c r="D42" s="5" t="s">
        <v>107</v>
      </c>
      <c r="E42" s="14" t="s">
        <v>14</v>
      </c>
      <c r="F42" s="4">
        <v>45545</v>
      </c>
      <c r="G42" s="5" t="s">
        <v>108</v>
      </c>
      <c r="H42" s="17" t="s">
        <v>56</v>
      </c>
      <c r="I42" s="14" t="s">
        <v>15</v>
      </c>
      <c r="J42" s="4">
        <v>45276</v>
      </c>
      <c r="K42" s="5" t="s">
        <v>109</v>
      </c>
      <c r="L42" s="15" t="s">
        <v>56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13"/>
    </row>
    <row r="43" spans="1:27" ht="16">
      <c r="A43" s="10"/>
      <c r="B43" s="3">
        <v>45564</v>
      </c>
      <c r="C43" s="1" t="s">
        <v>110</v>
      </c>
      <c r="D43" s="1" t="s">
        <v>111</v>
      </c>
      <c r="E43" s="11"/>
      <c r="F43" s="3">
        <v>45584</v>
      </c>
      <c r="G43" s="1" t="s">
        <v>122</v>
      </c>
      <c r="H43" s="1" t="s">
        <v>56</v>
      </c>
      <c r="I43" s="11"/>
      <c r="J43" s="3">
        <v>45323</v>
      </c>
      <c r="K43" s="1" t="s">
        <v>112</v>
      </c>
      <c r="L43" s="7" t="s">
        <v>113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6">
      <c r="A44" s="10"/>
      <c r="B44" s="3">
        <v>45593</v>
      </c>
      <c r="C44" s="1" t="s">
        <v>125</v>
      </c>
      <c r="D44" s="1" t="s">
        <v>56</v>
      </c>
      <c r="E44" s="11"/>
      <c r="F44" s="1"/>
      <c r="G44" s="1"/>
      <c r="H44" s="1"/>
      <c r="I44" s="11"/>
      <c r="J44" s="88">
        <v>45552</v>
      </c>
      <c r="K44" s="1" t="s">
        <v>114</v>
      </c>
      <c r="L44" s="7" t="s">
        <v>115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6">
      <c r="A45" s="10"/>
      <c r="B45" s="1"/>
      <c r="C45" s="1"/>
      <c r="D45" s="1"/>
      <c r="E45" s="11"/>
      <c r="F45" s="1"/>
      <c r="G45" s="1"/>
      <c r="H45" s="1"/>
      <c r="I45" s="11"/>
      <c r="J45" s="3">
        <v>45560</v>
      </c>
      <c r="K45" s="1" t="s">
        <v>116</v>
      </c>
      <c r="L45" s="86" t="s">
        <v>107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6">
      <c r="A46" s="10"/>
      <c r="B46" s="1"/>
      <c r="C46" s="1"/>
      <c r="D46" s="1"/>
      <c r="E46" s="11"/>
      <c r="F46" s="1"/>
      <c r="G46" s="1"/>
      <c r="H46" s="1"/>
      <c r="I46" s="11"/>
      <c r="J46" s="3">
        <v>45584</v>
      </c>
      <c r="K46" s="1" t="s">
        <v>121</v>
      </c>
      <c r="L46" s="86" t="s">
        <v>56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6">
      <c r="A48" s="10"/>
      <c r="B48" s="1"/>
      <c r="C48" s="1"/>
      <c r="D48" s="1"/>
      <c r="E48" s="11"/>
      <c r="F48" s="1"/>
      <c r="G48" s="1"/>
      <c r="H48" s="1"/>
      <c r="I48" s="11"/>
      <c r="J48" s="1"/>
      <c r="K48" s="1"/>
      <c r="L48" s="8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6">
      <c r="A52" s="12" t="s">
        <v>16</v>
      </c>
      <c r="B52" s="4">
        <v>45552</v>
      </c>
      <c r="C52" s="5" t="s">
        <v>117</v>
      </c>
      <c r="D52" s="5" t="s">
        <v>115</v>
      </c>
      <c r="E52" s="14" t="s">
        <v>17</v>
      </c>
      <c r="F52" s="4">
        <v>45564</v>
      </c>
      <c r="G52" s="5" t="s">
        <v>118</v>
      </c>
      <c r="H52" s="5" t="s">
        <v>111</v>
      </c>
      <c r="I52" s="14" t="s">
        <v>18</v>
      </c>
      <c r="J52" s="5"/>
      <c r="K52" s="5"/>
      <c r="L52" s="87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13"/>
    </row>
    <row r="53" spans="1:27" ht="16">
      <c r="A53" s="10"/>
      <c r="B53" s="3">
        <v>45560</v>
      </c>
      <c r="C53" s="1" t="s">
        <v>119</v>
      </c>
      <c r="D53" s="86" t="s">
        <v>107</v>
      </c>
      <c r="E53" s="10"/>
      <c r="F53" s="1"/>
      <c r="G53" s="1"/>
      <c r="H53" s="1"/>
      <c r="I53" s="11"/>
      <c r="J53" s="1"/>
      <c r="K53" s="1"/>
      <c r="L53" s="8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6">
      <c r="A58" s="10"/>
      <c r="B58" s="1"/>
      <c r="C58" s="1"/>
      <c r="D58" s="1"/>
      <c r="E58" s="11"/>
      <c r="F58" s="1"/>
      <c r="G58" s="1"/>
      <c r="H58" s="1"/>
      <c r="I58" s="11"/>
      <c r="J58" s="1"/>
      <c r="K58" s="1"/>
      <c r="L58" s="8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6">
      <c r="A62" s="12" t="s">
        <v>19</v>
      </c>
      <c r="B62" s="5"/>
      <c r="C62" s="5"/>
      <c r="D62" s="5"/>
      <c r="E62" s="14" t="s">
        <v>102</v>
      </c>
      <c r="F62" s="5"/>
      <c r="G62" s="5"/>
      <c r="H62" s="5"/>
      <c r="I62" s="14" t="s">
        <v>126</v>
      </c>
      <c r="J62" s="5"/>
      <c r="K62" s="5"/>
      <c r="L62" s="5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13"/>
    </row>
    <row r="63" spans="1:27" ht="16">
      <c r="A63" s="10"/>
      <c r="B63" s="1"/>
      <c r="C63" s="1"/>
      <c r="D63" s="1"/>
      <c r="E63" s="11"/>
      <c r="F63" s="1"/>
      <c r="G63" s="1"/>
      <c r="H63" s="1"/>
      <c r="I63" s="11"/>
      <c r="J63" s="1"/>
      <c r="K63" s="1"/>
      <c r="L63" s="8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6">
      <c r="A64" s="10"/>
      <c r="B64" s="1"/>
      <c r="C64" s="1"/>
      <c r="D64" s="1"/>
      <c r="E64" s="11"/>
      <c r="F64" s="1"/>
      <c r="G64" s="1"/>
      <c r="H64" s="1"/>
      <c r="I64" s="11"/>
      <c r="J64" s="1"/>
      <c r="K64" s="1"/>
      <c r="L64" s="8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6">
      <c r="A65" s="10"/>
      <c r="B65" s="1"/>
      <c r="C65" s="1"/>
      <c r="D65" s="1"/>
      <c r="E65" s="11"/>
      <c r="F65" s="1"/>
      <c r="G65" s="1"/>
      <c r="H65" s="1"/>
      <c r="I65" s="11"/>
      <c r="J65" s="1"/>
      <c r="K65" s="1"/>
      <c r="L65" s="8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6">
      <c r="A66" s="10"/>
      <c r="B66" s="1"/>
      <c r="C66" s="1"/>
      <c r="D66" s="1"/>
      <c r="E66" s="11"/>
      <c r="F66" s="1"/>
      <c r="G66" s="1"/>
      <c r="H66" s="1"/>
      <c r="I66" s="11"/>
      <c r="J66" s="1"/>
      <c r="K66" s="1"/>
      <c r="L66" s="8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6">
      <c r="A67" s="10"/>
      <c r="B67" s="1"/>
      <c r="C67" s="1"/>
      <c r="D67" s="1"/>
      <c r="E67" s="11"/>
      <c r="F67" s="1"/>
      <c r="G67" s="1"/>
      <c r="H67" s="1"/>
      <c r="I67" s="11"/>
      <c r="J67" s="1"/>
      <c r="K67" s="1"/>
      <c r="L67" s="8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6">
      <c r="A68" s="10"/>
      <c r="B68" s="1"/>
      <c r="C68" s="1"/>
      <c r="D68" s="1"/>
      <c r="E68" s="11"/>
      <c r="F68" s="1"/>
      <c r="G68" s="1"/>
      <c r="H68" s="1"/>
      <c r="I68" s="11"/>
      <c r="J68" s="1"/>
      <c r="K68" s="1"/>
      <c r="L68" s="8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6">
      <c r="A69" s="10"/>
      <c r="B69" s="1"/>
      <c r="C69" s="1"/>
      <c r="D69" s="1"/>
      <c r="E69" s="11"/>
      <c r="F69" s="1"/>
      <c r="G69" s="1"/>
      <c r="H69" s="1"/>
      <c r="I69" s="11"/>
      <c r="J69" s="1"/>
      <c r="K69" s="1"/>
      <c r="L69" s="8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6">
      <c r="A70" s="10"/>
      <c r="B70" s="1"/>
      <c r="C70" s="1"/>
      <c r="D70" s="1"/>
      <c r="E70" s="11"/>
      <c r="F70" s="1"/>
      <c r="G70" s="1"/>
      <c r="H70" s="1"/>
      <c r="I70" s="11"/>
      <c r="J70" s="1"/>
      <c r="K70" s="1"/>
      <c r="L70" s="8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6">
      <c r="A71" s="10"/>
      <c r="B71" s="1"/>
      <c r="C71" s="1"/>
      <c r="D71" s="1"/>
      <c r="E71" s="11"/>
      <c r="F71" s="1"/>
      <c r="G71" s="1"/>
      <c r="H71" s="1"/>
      <c r="I71" s="11"/>
      <c r="J71" s="1"/>
      <c r="K71" s="1"/>
      <c r="L71" s="8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6">
      <c r="A72" s="67" t="s">
        <v>127</v>
      </c>
      <c r="B72" s="89"/>
      <c r="C72" s="89"/>
      <c r="D72" s="89"/>
      <c r="E72" s="67" t="s">
        <v>127</v>
      </c>
      <c r="F72" s="89"/>
      <c r="G72" s="89"/>
      <c r="H72" s="89"/>
      <c r="I72" s="67" t="s">
        <v>127</v>
      </c>
      <c r="J72" s="89"/>
      <c r="K72" s="89"/>
      <c r="L72" s="89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6">
      <c r="A73" s="10"/>
      <c r="B73" s="6"/>
      <c r="C73" s="6"/>
      <c r="D73" s="6"/>
      <c r="E73" s="10"/>
      <c r="F73" s="6"/>
      <c r="G73" s="6"/>
      <c r="H73" s="6"/>
      <c r="I73" s="10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6">
      <c r="A74" s="10"/>
      <c r="B74" s="6"/>
      <c r="C74" s="6"/>
      <c r="D74" s="6"/>
      <c r="E74" s="10"/>
      <c r="F74" s="6"/>
      <c r="G74" s="6"/>
      <c r="H74" s="6"/>
      <c r="I74" s="10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6">
      <c r="A75" s="10"/>
      <c r="B75" s="6"/>
      <c r="C75" s="6"/>
      <c r="D75" s="6"/>
      <c r="E75" s="10"/>
      <c r="F75" s="6"/>
      <c r="G75" s="6"/>
      <c r="H75" s="6"/>
      <c r="I75" s="10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6">
      <c r="A76" s="10"/>
      <c r="B76" s="6"/>
      <c r="C76" s="6"/>
      <c r="D76" s="6"/>
      <c r="E76" s="10"/>
      <c r="F76" s="6"/>
      <c r="G76" s="6"/>
      <c r="H76" s="6"/>
      <c r="I76" s="10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6">
      <c r="A77" s="10"/>
      <c r="B77" s="6"/>
      <c r="C77" s="6"/>
      <c r="D77" s="6"/>
      <c r="E77" s="10"/>
      <c r="F77" s="6"/>
      <c r="G77" s="6"/>
      <c r="H77" s="6"/>
      <c r="I77" s="10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6">
      <c r="A78" s="10"/>
      <c r="B78" s="6"/>
      <c r="C78" s="6"/>
      <c r="D78" s="6"/>
      <c r="E78" s="10"/>
      <c r="F78" s="6"/>
      <c r="G78" s="6"/>
      <c r="H78" s="6"/>
      <c r="I78" s="10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6">
      <c r="A79" s="10"/>
      <c r="B79" s="6"/>
      <c r="C79" s="6"/>
      <c r="D79" s="6"/>
      <c r="E79" s="10"/>
      <c r="F79" s="6"/>
      <c r="G79" s="6"/>
      <c r="H79" s="6"/>
      <c r="I79" s="10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6">
      <c r="A80" s="10"/>
      <c r="B80" s="6"/>
      <c r="C80" s="6"/>
      <c r="D80" s="6"/>
      <c r="E80" s="10"/>
      <c r="F80" s="6"/>
      <c r="G80" s="6"/>
      <c r="H80" s="6"/>
      <c r="I80" s="10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6">
      <c r="A81" s="10"/>
      <c r="B81" s="6"/>
      <c r="C81" s="6"/>
      <c r="D81" s="6"/>
      <c r="E81" s="10"/>
      <c r="F81" s="6"/>
      <c r="G81" s="6"/>
      <c r="H81" s="6"/>
      <c r="I81" s="10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6">
      <c r="A82" s="10"/>
      <c r="B82" s="6"/>
      <c r="C82" s="6"/>
      <c r="D82" s="6"/>
      <c r="E82" s="10"/>
      <c r="F82" s="6"/>
      <c r="G82" s="6"/>
      <c r="H82" s="6"/>
      <c r="I82" s="10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6">
      <c r="A83" s="10"/>
      <c r="B83" s="6"/>
      <c r="C83" s="6"/>
      <c r="D83" s="6"/>
      <c r="E83" s="10"/>
      <c r="F83" s="6"/>
      <c r="G83" s="6"/>
      <c r="H83" s="6"/>
      <c r="I83" s="1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6">
      <c r="A84" s="10"/>
      <c r="B84" s="6"/>
      <c r="C84" s="6"/>
      <c r="D84" s="6"/>
      <c r="E84" s="10"/>
      <c r="F84" s="6"/>
      <c r="G84" s="6"/>
      <c r="H84" s="6"/>
      <c r="I84" s="10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6">
      <c r="A85" s="10"/>
      <c r="B85" s="6"/>
      <c r="C85" s="6"/>
      <c r="D85" s="6"/>
      <c r="E85" s="10"/>
      <c r="F85" s="6"/>
      <c r="G85" s="6"/>
      <c r="H85" s="6"/>
      <c r="I85" s="10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6">
      <c r="A86" s="10"/>
      <c r="B86" s="6"/>
      <c r="C86" s="6"/>
      <c r="D86" s="6"/>
      <c r="E86" s="10"/>
      <c r="F86" s="6"/>
      <c r="G86" s="6"/>
      <c r="H86" s="6"/>
      <c r="I86" s="10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6">
      <c r="A87" s="10"/>
      <c r="B87" s="6"/>
      <c r="C87" s="6"/>
      <c r="D87" s="6"/>
      <c r="E87" s="10"/>
      <c r="F87" s="6"/>
      <c r="G87" s="6"/>
      <c r="H87" s="6"/>
      <c r="I87" s="10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6">
      <c r="A88" s="10"/>
      <c r="B88" s="6"/>
      <c r="C88" s="6"/>
      <c r="D88" s="6"/>
      <c r="E88" s="10"/>
      <c r="F88" s="6"/>
      <c r="G88" s="6"/>
      <c r="H88" s="6"/>
      <c r="I88" s="10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6">
      <c r="A89" s="10"/>
      <c r="B89" s="6"/>
      <c r="C89" s="6"/>
      <c r="D89" s="6"/>
      <c r="E89" s="10"/>
      <c r="F89" s="6"/>
      <c r="G89" s="6"/>
      <c r="H89" s="6"/>
      <c r="I89" s="10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6">
      <c r="A90" s="10"/>
      <c r="B90" s="6"/>
      <c r="C90" s="6"/>
      <c r="D90" s="6"/>
      <c r="E90" s="10"/>
      <c r="F90" s="6"/>
      <c r="G90" s="6"/>
      <c r="H90" s="6"/>
      <c r="I90" s="10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6">
      <c r="A91" s="10"/>
      <c r="B91" s="6"/>
      <c r="C91" s="6"/>
      <c r="D91" s="6"/>
      <c r="E91" s="10"/>
      <c r="F91" s="6"/>
      <c r="G91" s="6"/>
      <c r="H91" s="6"/>
      <c r="I91" s="10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6">
      <c r="A92" s="10"/>
      <c r="B92" s="6"/>
      <c r="C92" s="6"/>
      <c r="D92" s="6"/>
      <c r="E92" s="10"/>
      <c r="F92" s="6"/>
      <c r="G92" s="6"/>
      <c r="H92" s="6"/>
      <c r="I92" s="10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6">
      <c r="A93" s="10"/>
      <c r="B93" s="6"/>
      <c r="C93" s="6"/>
      <c r="D93" s="6"/>
      <c r="E93" s="10"/>
      <c r="F93" s="6"/>
      <c r="G93" s="6"/>
      <c r="H93" s="6"/>
      <c r="I93" s="10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6">
      <c r="A94" s="10"/>
      <c r="B94" s="6"/>
      <c r="C94" s="6"/>
      <c r="D94" s="6"/>
      <c r="E94" s="10"/>
      <c r="F94" s="6"/>
      <c r="G94" s="6"/>
      <c r="H94" s="6"/>
      <c r="I94" s="10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6">
      <c r="A95" s="10"/>
      <c r="B95" s="6"/>
      <c r="C95" s="6"/>
      <c r="D95" s="6"/>
      <c r="E95" s="10"/>
      <c r="F95" s="6"/>
      <c r="G95" s="6"/>
      <c r="H95" s="6"/>
      <c r="I95" s="10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6">
      <c r="A96" s="10"/>
      <c r="B96" s="6"/>
      <c r="C96" s="6"/>
      <c r="D96" s="6"/>
      <c r="E96" s="10"/>
      <c r="F96" s="6"/>
      <c r="G96" s="6"/>
      <c r="H96" s="6"/>
      <c r="I96" s="10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6">
      <c r="A97" s="10"/>
      <c r="B97" s="6"/>
      <c r="C97" s="6"/>
      <c r="D97" s="6"/>
      <c r="E97" s="10"/>
      <c r="F97" s="6"/>
      <c r="G97" s="6"/>
      <c r="H97" s="6"/>
      <c r="I97" s="10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6">
      <c r="A98" s="10"/>
      <c r="B98" s="6"/>
      <c r="C98" s="6"/>
      <c r="D98" s="6"/>
      <c r="E98" s="10"/>
      <c r="F98" s="6"/>
      <c r="G98" s="6"/>
      <c r="H98" s="6"/>
      <c r="I98" s="10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6">
      <c r="A99" s="10"/>
      <c r="B99" s="6"/>
      <c r="C99" s="6"/>
      <c r="D99" s="6"/>
      <c r="E99" s="10"/>
      <c r="F99" s="6"/>
      <c r="G99" s="6"/>
      <c r="H99" s="6"/>
      <c r="I99" s="10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6">
      <c r="A100" s="10"/>
      <c r="B100" s="6"/>
      <c r="C100" s="6"/>
      <c r="D100" s="6"/>
      <c r="E100" s="10"/>
      <c r="F100" s="6"/>
      <c r="G100" s="6"/>
      <c r="H100" s="6"/>
      <c r="I100" s="10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6">
      <c r="A101" s="10"/>
      <c r="B101" s="6"/>
      <c r="C101" s="6"/>
      <c r="D101" s="6"/>
      <c r="E101" s="10"/>
      <c r="F101" s="6"/>
      <c r="G101" s="6"/>
      <c r="H101" s="6"/>
      <c r="I101" s="10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6">
      <c r="A102" s="10"/>
      <c r="B102" s="6"/>
      <c r="C102" s="6"/>
      <c r="D102" s="6"/>
      <c r="E102" s="10"/>
      <c r="F102" s="6"/>
      <c r="G102" s="6"/>
      <c r="H102" s="6"/>
      <c r="I102" s="10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6">
      <c r="A103" s="10"/>
      <c r="B103" s="6"/>
      <c r="C103" s="6"/>
      <c r="D103" s="6"/>
      <c r="E103" s="10"/>
      <c r="F103" s="6"/>
      <c r="G103" s="6"/>
      <c r="H103" s="6"/>
      <c r="I103" s="10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6">
      <c r="A104" s="10"/>
      <c r="B104" s="6"/>
      <c r="C104" s="6"/>
      <c r="D104" s="6"/>
      <c r="E104" s="10"/>
      <c r="F104" s="6"/>
      <c r="G104" s="6"/>
      <c r="H104" s="6"/>
      <c r="I104" s="10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6">
      <c r="A105" s="10"/>
      <c r="B105" s="6"/>
      <c r="C105" s="6"/>
      <c r="D105" s="6"/>
      <c r="E105" s="10"/>
      <c r="F105" s="6"/>
      <c r="G105" s="6"/>
      <c r="H105" s="6"/>
      <c r="I105" s="10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6">
      <c r="A106" s="10"/>
      <c r="B106" s="6"/>
      <c r="C106" s="6"/>
      <c r="D106" s="6"/>
      <c r="E106" s="10"/>
      <c r="F106" s="6"/>
      <c r="G106" s="6"/>
      <c r="H106" s="6"/>
      <c r="I106" s="10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6">
      <c r="A107" s="10"/>
      <c r="B107" s="6"/>
      <c r="C107" s="6"/>
      <c r="D107" s="6"/>
      <c r="E107" s="10"/>
      <c r="F107" s="6"/>
      <c r="G107" s="6"/>
      <c r="H107" s="6"/>
      <c r="I107" s="10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6">
      <c r="A108" s="10"/>
      <c r="B108" s="6"/>
      <c r="C108" s="6"/>
      <c r="D108" s="6"/>
      <c r="E108" s="10"/>
      <c r="F108" s="6"/>
      <c r="G108" s="6"/>
      <c r="H108" s="6"/>
      <c r="I108" s="10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6">
      <c r="A109" s="10"/>
      <c r="B109" s="6"/>
      <c r="C109" s="6"/>
      <c r="D109" s="6"/>
      <c r="E109" s="10"/>
      <c r="F109" s="6"/>
      <c r="G109" s="6"/>
      <c r="H109" s="6"/>
      <c r="I109" s="10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6">
      <c r="A110" s="10"/>
      <c r="B110" s="6"/>
      <c r="C110" s="6"/>
      <c r="D110" s="6"/>
      <c r="E110" s="10"/>
      <c r="F110" s="6"/>
      <c r="G110" s="6"/>
      <c r="H110" s="6"/>
      <c r="I110" s="10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6">
      <c r="A111" s="10"/>
      <c r="B111" s="6"/>
      <c r="C111" s="6"/>
      <c r="D111" s="6"/>
      <c r="E111" s="10"/>
      <c r="F111" s="6"/>
      <c r="G111" s="6"/>
      <c r="H111" s="6"/>
      <c r="I111" s="10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6">
      <c r="A112" s="10"/>
      <c r="B112" s="6"/>
      <c r="C112" s="6"/>
      <c r="D112" s="6"/>
      <c r="E112" s="10"/>
      <c r="F112" s="6"/>
      <c r="G112" s="6"/>
      <c r="H112" s="6"/>
      <c r="I112" s="10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6">
      <c r="A113" s="10"/>
      <c r="B113" s="6"/>
      <c r="C113" s="6"/>
      <c r="D113" s="6"/>
      <c r="E113" s="10"/>
      <c r="F113" s="6"/>
      <c r="G113" s="6"/>
      <c r="H113" s="6"/>
      <c r="I113" s="10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6">
      <c r="A114" s="10"/>
      <c r="B114" s="6"/>
      <c r="C114" s="6"/>
      <c r="D114" s="6"/>
      <c r="E114" s="10"/>
      <c r="F114" s="6"/>
      <c r="G114" s="6"/>
      <c r="H114" s="6"/>
      <c r="I114" s="10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6">
      <c r="A115" s="10"/>
      <c r="B115" s="6"/>
      <c r="C115" s="6"/>
      <c r="D115" s="6"/>
      <c r="E115" s="10"/>
      <c r="F115" s="6"/>
      <c r="G115" s="6"/>
      <c r="H115" s="6"/>
      <c r="I115" s="10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6">
      <c r="A116" s="10"/>
      <c r="B116" s="6"/>
      <c r="C116" s="6"/>
      <c r="D116" s="6"/>
      <c r="E116" s="10"/>
      <c r="F116" s="6"/>
      <c r="G116" s="6"/>
      <c r="H116" s="6"/>
      <c r="I116" s="10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6">
      <c r="A117" s="10"/>
      <c r="B117" s="6"/>
      <c r="C117" s="6"/>
      <c r="D117" s="6"/>
      <c r="E117" s="10"/>
      <c r="F117" s="6"/>
      <c r="G117" s="6"/>
      <c r="H117" s="6"/>
      <c r="I117" s="10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6">
      <c r="A118" s="10"/>
      <c r="B118" s="6"/>
      <c r="C118" s="6"/>
      <c r="D118" s="6"/>
      <c r="E118" s="10"/>
      <c r="F118" s="6"/>
      <c r="G118" s="6"/>
      <c r="H118" s="6"/>
      <c r="I118" s="10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6">
      <c r="A119" s="10"/>
      <c r="B119" s="6"/>
      <c r="C119" s="6"/>
      <c r="D119" s="6"/>
      <c r="E119" s="10"/>
      <c r="F119" s="6"/>
      <c r="G119" s="6"/>
      <c r="H119" s="6"/>
      <c r="I119" s="10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6">
      <c r="A120" s="10"/>
      <c r="B120" s="6"/>
      <c r="C120" s="6"/>
      <c r="D120" s="6"/>
      <c r="E120" s="10"/>
      <c r="F120" s="6"/>
      <c r="G120" s="6"/>
      <c r="H120" s="6"/>
      <c r="I120" s="10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6">
      <c r="A121" s="10"/>
      <c r="B121" s="6"/>
      <c r="C121" s="6"/>
      <c r="D121" s="6"/>
      <c r="E121" s="10"/>
      <c r="F121" s="6"/>
      <c r="G121" s="6"/>
      <c r="H121" s="6"/>
      <c r="I121" s="10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6">
      <c r="A122" s="10"/>
      <c r="B122" s="6"/>
      <c r="C122" s="6"/>
      <c r="D122" s="6"/>
      <c r="E122" s="10"/>
      <c r="F122" s="6"/>
      <c r="G122" s="6"/>
      <c r="H122" s="6"/>
      <c r="I122" s="10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</row>
    <row r="123" spans="1:27" ht="16">
      <c r="A123" s="10"/>
      <c r="B123" s="6"/>
      <c r="C123" s="6"/>
      <c r="D123" s="6"/>
      <c r="E123" s="10"/>
      <c r="F123" s="6"/>
      <c r="G123" s="6"/>
      <c r="H123" s="6"/>
      <c r="I123" s="10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</row>
    <row r="124" spans="1:27" ht="16">
      <c r="A124" s="10"/>
      <c r="B124" s="6"/>
      <c r="C124" s="6"/>
      <c r="D124" s="6"/>
      <c r="E124" s="10"/>
      <c r="F124" s="6"/>
      <c r="G124" s="6"/>
      <c r="H124" s="6"/>
      <c r="I124" s="10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</row>
    <row r="125" spans="1:27" ht="16">
      <c r="A125" s="10"/>
      <c r="B125" s="6"/>
      <c r="C125" s="6"/>
      <c r="D125" s="6"/>
      <c r="E125" s="10"/>
      <c r="F125" s="6"/>
      <c r="G125" s="6"/>
      <c r="H125" s="6"/>
      <c r="I125" s="10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</row>
    <row r="126" spans="1:27" ht="16">
      <c r="A126" s="10"/>
      <c r="B126" s="6"/>
      <c r="C126" s="6"/>
      <c r="D126" s="6"/>
      <c r="E126" s="10"/>
      <c r="F126" s="6"/>
      <c r="G126" s="6"/>
      <c r="H126" s="6"/>
      <c r="I126" s="10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</row>
    <row r="127" spans="1:27" ht="16">
      <c r="A127" s="10"/>
      <c r="B127" s="6"/>
      <c r="C127" s="6"/>
      <c r="D127" s="6"/>
      <c r="E127" s="10"/>
      <c r="F127" s="6"/>
      <c r="G127" s="6"/>
      <c r="H127" s="6"/>
      <c r="I127" s="10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</row>
    <row r="128" spans="1:27" ht="16">
      <c r="A128" s="10"/>
      <c r="B128" s="6"/>
      <c r="C128" s="6"/>
      <c r="D128" s="6"/>
      <c r="E128" s="10"/>
      <c r="F128" s="6"/>
      <c r="G128" s="6"/>
      <c r="H128" s="6"/>
      <c r="I128" s="10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</row>
    <row r="129" spans="1:27" ht="16">
      <c r="A129" s="10"/>
      <c r="B129" s="6"/>
      <c r="C129" s="6"/>
      <c r="D129" s="6"/>
      <c r="E129" s="10"/>
      <c r="F129" s="6"/>
      <c r="G129" s="6"/>
      <c r="H129" s="6"/>
      <c r="I129" s="10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</row>
    <row r="130" spans="1:27" ht="16">
      <c r="A130" s="10"/>
      <c r="B130" s="6"/>
      <c r="C130" s="6"/>
      <c r="D130" s="6"/>
      <c r="E130" s="10"/>
      <c r="F130" s="6"/>
      <c r="G130" s="6"/>
      <c r="H130" s="6"/>
      <c r="I130" s="10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</row>
    <row r="131" spans="1:27" ht="16">
      <c r="A131" s="10"/>
      <c r="B131" s="6"/>
      <c r="C131" s="6"/>
      <c r="D131" s="6"/>
      <c r="E131" s="10"/>
      <c r="F131" s="6"/>
      <c r="G131" s="6"/>
      <c r="H131" s="6"/>
      <c r="I131" s="10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</row>
    <row r="132" spans="1:27" ht="16">
      <c r="A132" s="10"/>
      <c r="B132" s="6"/>
      <c r="C132" s="6"/>
      <c r="D132" s="6"/>
      <c r="E132" s="10"/>
      <c r="F132" s="6"/>
      <c r="G132" s="6"/>
      <c r="H132" s="6"/>
      <c r="I132" s="10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</row>
    <row r="133" spans="1:27" ht="16">
      <c r="A133" s="10"/>
      <c r="B133" s="6"/>
      <c r="C133" s="6"/>
      <c r="D133" s="6"/>
      <c r="E133" s="10"/>
      <c r="F133" s="6"/>
      <c r="G133" s="6"/>
      <c r="H133" s="6"/>
      <c r="I133" s="10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</row>
    <row r="134" spans="1:27" ht="16">
      <c r="A134" s="10"/>
      <c r="B134" s="6"/>
      <c r="C134" s="6"/>
      <c r="D134" s="6"/>
      <c r="E134" s="10"/>
      <c r="F134" s="6"/>
      <c r="G134" s="6"/>
      <c r="H134" s="6"/>
      <c r="I134" s="10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</row>
    <row r="135" spans="1:27" ht="16">
      <c r="A135" s="10"/>
      <c r="B135" s="6"/>
      <c r="C135" s="6"/>
      <c r="D135" s="6"/>
      <c r="E135" s="10"/>
      <c r="F135" s="6"/>
      <c r="G135" s="6"/>
      <c r="H135" s="6"/>
      <c r="I135" s="10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</row>
    <row r="136" spans="1:27" ht="16">
      <c r="A136" s="10"/>
      <c r="B136" s="6"/>
      <c r="C136" s="6"/>
      <c r="D136" s="6"/>
      <c r="E136" s="10"/>
      <c r="F136" s="6"/>
      <c r="G136" s="6"/>
      <c r="H136" s="6"/>
      <c r="I136" s="10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</row>
    <row r="137" spans="1:27" ht="16">
      <c r="A137" s="10"/>
      <c r="B137" s="6"/>
      <c r="C137" s="6"/>
      <c r="D137" s="6"/>
      <c r="E137" s="10"/>
      <c r="F137" s="6"/>
      <c r="G137" s="6"/>
      <c r="H137" s="6"/>
      <c r="I137" s="10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</row>
    <row r="138" spans="1:27" ht="16">
      <c r="A138" s="10"/>
      <c r="B138" s="6"/>
      <c r="C138" s="6"/>
      <c r="D138" s="6"/>
      <c r="E138" s="10"/>
      <c r="F138" s="6"/>
      <c r="G138" s="6"/>
      <c r="H138" s="6"/>
      <c r="I138" s="10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</row>
    <row r="139" spans="1:27" ht="16">
      <c r="A139" s="10"/>
      <c r="B139" s="6"/>
      <c r="C139" s="6"/>
      <c r="D139" s="6"/>
      <c r="E139" s="10"/>
      <c r="F139" s="6"/>
      <c r="G139" s="6"/>
      <c r="H139" s="6"/>
      <c r="I139" s="10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</row>
    <row r="140" spans="1:27" ht="16">
      <c r="A140" s="10"/>
      <c r="B140" s="6"/>
      <c r="C140" s="6"/>
      <c r="D140" s="6"/>
      <c r="E140" s="10"/>
      <c r="F140" s="6"/>
      <c r="G140" s="6"/>
      <c r="H140" s="6"/>
      <c r="I140" s="10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</row>
    <row r="141" spans="1:27" ht="16">
      <c r="A141" s="10"/>
      <c r="B141" s="6"/>
      <c r="C141" s="6"/>
      <c r="D141" s="6"/>
      <c r="E141" s="10"/>
      <c r="F141" s="6"/>
      <c r="G141" s="6"/>
      <c r="H141" s="6"/>
      <c r="I141" s="10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</row>
    <row r="142" spans="1:27" ht="16">
      <c r="A142" s="10"/>
      <c r="B142" s="6"/>
      <c r="C142" s="6"/>
      <c r="D142" s="6"/>
      <c r="E142" s="10"/>
      <c r="F142" s="6"/>
      <c r="G142" s="6"/>
      <c r="H142" s="6"/>
      <c r="I142" s="10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6">
      <c r="A143" s="10"/>
      <c r="B143" s="6"/>
      <c r="C143" s="6"/>
      <c r="D143" s="6"/>
      <c r="E143" s="10"/>
      <c r="F143" s="6"/>
      <c r="G143" s="6"/>
      <c r="H143" s="6"/>
      <c r="I143" s="10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6">
      <c r="A144" s="10"/>
      <c r="B144" s="6"/>
      <c r="C144" s="6"/>
      <c r="D144" s="6"/>
      <c r="E144" s="10"/>
      <c r="F144" s="6"/>
      <c r="G144" s="6"/>
      <c r="H144" s="6"/>
      <c r="I144" s="10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6">
      <c r="A145" s="10"/>
      <c r="B145" s="6"/>
      <c r="C145" s="6"/>
      <c r="D145" s="6"/>
      <c r="E145" s="10"/>
      <c r="F145" s="6"/>
      <c r="G145" s="6"/>
      <c r="H145" s="6"/>
      <c r="I145" s="10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6">
      <c r="A146" s="10"/>
      <c r="B146" s="6"/>
      <c r="C146" s="6"/>
      <c r="D146" s="6"/>
      <c r="E146" s="10"/>
      <c r="F146" s="6"/>
      <c r="G146" s="6"/>
      <c r="H146" s="6"/>
      <c r="I146" s="10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6">
      <c r="A147" s="10"/>
      <c r="B147" s="6"/>
      <c r="C147" s="6"/>
      <c r="D147" s="6"/>
      <c r="E147" s="10"/>
      <c r="F147" s="6"/>
      <c r="G147" s="6"/>
      <c r="H147" s="6"/>
      <c r="I147" s="10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6">
      <c r="A148" s="10"/>
      <c r="B148" s="6"/>
      <c r="C148" s="6"/>
      <c r="D148" s="6"/>
      <c r="E148" s="10"/>
      <c r="F148" s="6"/>
      <c r="G148" s="6"/>
      <c r="H148" s="6"/>
      <c r="I148" s="10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6">
      <c r="A149" s="10"/>
      <c r="B149" s="6"/>
      <c r="C149" s="6"/>
      <c r="D149" s="6"/>
      <c r="E149" s="10"/>
      <c r="F149" s="6"/>
      <c r="G149" s="6"/>
      <c r="H149" s="6"/>
      <c r="I149" s="10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6">
      <c r="A150" s="10"/>
      <c r="B150" s="6"/>
      <c r="C150" s="6"/>
      <c r="D150" s="6"/>
      <c r="E150" s="10"/>
      <c r="F150" s="6"/>
      <c r="G150" s="6"/>
      <c r="H150" s="6"/>
      <c r="I150" s="10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6">
      <c r="A151" s="10"/>
      <c r="B151" s="6"/>
      <c r="C151" s="6"/>
      <c r="D151" s="6"/>
      <c r="E151" s="10"/>
      <c r="F151" s="6"/>
      <c r="G151" s="6"/>
      <c r="H151" s="6"/>
      <c r="I151" s="10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6">
      <c r="A152" s="10"/>
      <c r="B152" s="6"/>
      <c r="C152" s="6"/>
      <c r="D152" s="6"/>
      <c r="E152" s="10"/>
      <c r="F152" s="6"/>
      <c r="G152" s="6"/>
      <c r="H152" s="6"/>
      <c r="I152" s="10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</row>
    <row r="153" spans="1:27" ht="16">
      <c r="A153" s="10"/>
      <c r="B153" s="6"/>
      <c r="C153" s="6"/>
      <c r="D153" s="6"/>
      <c r="E153" s="10"/>
      <c r="F153" s="6"/>
      <c r="G153" s="6"/>
      <c r="H153" s="6"/>
      <c r="I153" s="10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</row>
    <row r="154" spans="1:27" ht="16">
      <c r="A154" s="10"/>
      <c r="B154" s="6"/>
      <c r="C154" s="6"/>
      <c r="D154" s="6"/>
      <c r="E154" s="10"/>
      <c r="F154" s="6"/>
      <c r="G154" s="6"/>
      <c r="H154" s="6"/>
      <c r="I154" s="10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</row>
    <row r="155" spans="1:27" ht="16">
      <c r="A155" s="10"/>
      <c r="B155" s="6"/>
      <c r="C155" s="6"/>
      <c r="D155" s="6"/>
      <c r="E155" s="10"/>
      <c r="F155" s="6"/>
      <c r="G155" s="6"/>
      <c r="H155" s="6"/>
      <c r="I155" s="10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</row>
    <row r="156" spans="1:27" ht="16">
      <c r="A156" s="10"/>
      <c r="B156" s="6"/>
      <c r="C156" s="6"/>
      <c r="D156" s="6"/>
      <c r="E156" s="10"/>
      <c r="F156" s="6"/>
      <c r="G156" s="6"/>
      <c r="H156" s="6"/>
      <c r="I156" s="10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</row>
    <row r="157" spans="1:27" ht="16">
      <c r="A157" s="10"/>
      <c r="B157" s="6"/>
      <c r="C157" s="6"/>
      <c r="D157" s="6"/>
      <c r="E157" s="10"/>
      <c r="F157" s="6"/>
      <c r="G157" s="6"/>
      <c r="H157" s="6"/>
      <c r="I157" s="10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</row>
    <row r="158" spans="1:27" ht="16">
      <c r="A158" s="10"/>
      <c r="B158" s="6"/>
      <c r="C158" s="6"/>
      <c r="D158" s="6"/>
      <c r="E158" s="10"/>
      <c r="F158" s="6"/>
      <c r="G158" s="6"/>
      <c r="H158" s="6"/>
      <c r="I158" s="10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</row>
    <row r="159" spans="1:27" ht="16">
      <c r="A159" s="10"/>
      <c r="B159" s="6"/>
      <c r="C159" s="6"/>
      <c r="D159" s="6"/>
      <c r="E159" s="10"/>
      <c r="F159" s="6"/>
      <c r="G159" s="6"/>
      <c r="H159" s="6"/>
      <c r="I159" s="10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</row>
    <row r="160" spans="1:27" ht="16">
      <c r="A160" s="10"/>
      <c r="B160" s="6"/>
      <c r="C160" s="6"/>
      <c r="D160" s="6"/>
      <c r="E160" s="10"/>
      <c r="F160" s="6"/>
      <c r="G160" s="6"/>
      <c r="H160" s="6"/>
      <c r="I160" s="10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</row>
    <row r="161" spans="1:27" ht="16">
      <c r="A161" s="10"/>
      <c r="B161" s="6"/>
      <c r="C161" s="6"/>
      <c r="D161" s="6"/>
      <c r="E161" s="10"/>
      <c r="F161" s="6"/>
      <c r="G161" s="6"/>
      <c r="H161" s="6"/>
      <c r="I161" s="10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</row>
    <row r="162" spans="1:27" ht="16">
      <c r="A162" s="10"/>
      <c r="B162" s="6"/>
      <c r="C162" s="6"/>
      <c r="D162" s="6"/>
      <c r="E162" s="10"/>
      <c r="F162" s="6"/>
      <c r="G162" s="6"/>
      <c r="H162" s="6"/>
      <c r="I162" s="10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</row>
    <row r="163" spans="1:27" ht="16">
      <c r="A163" s="10"/>
      <c r="B163" s="6"/>
      <c r="C163" s="6"/>
      <c r="D163" s="6"/>
      <c r="E163" s="10"/>
      <c r="F163" s="6"/>
      <c r="G163" s="6"/>
      <c r="H163" s="6"/>
      <c r="I163" s="10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6">
      <c r="A164" s="10"/>
      <c r="B164" s="6"/>
      <c r="C164" s="6"/>
      <c r="D164" s="6"/>
      <c r="E164" s="10"/>
      <c r="F164" s="6"/>
      <c r="G164" s="6"/>
      <c r="H164" s="6"/>
      <c r="I164" s="10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6">
      <c r="A165" s="10"/>
      <c r="B165" s="6"/>
      <c r="C165" s="6"/>
      <c r="D165" s="6"/>
      <c r="E165" s="10"/>
      <c r="F165" s="6"/>
      <c r="G165" s="6"/>
      <c r="H165" s="6"/>
      <c r="I165" s="10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6">
      <c r="A166" s="10"/>
      <c r="B166" s="6"/>
      <c r="C166" s="6"/>
      <c r="D166" s="6"/>
      <c r="E166" s="10"/>
      <c r="F166" s="6"/>
      <c r="G166" s="6"/>
      <c r="H166" s="6"/>
      <c r="I166" s="10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6">
      <c r="A167" s="10"/>
      <c r="B167" s="6"/>
      <c r="C167" s="6"/>
      <c r="D167" s="6"/>
      <c r="E167" s="10"/>
      <c r="F167" s="6"/>
      <c r="G167" s="6"/>
      <c r="H167" s="6"/>
      <c r="I167" s="10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6">
      <c r="A168" s="10"/>
      <c r="B168" s="6"/>
      <c r="C168" s="6"/>
      <c r="D168" s="6"/>
      <c r="E168" s="10"/>
      <c r="F168" s="6"/>
      <c r="G168" s="6"/>
      <c r="H168" s="6"/>
      <c r="I168" s="10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6">
      <c r="A169" s="10"/>
      <c r="B169" s="6"/>
      <c r="C169" s="6"/>
      <c r="D169" s="6"/>
      <c r="E169" s="10"/>
      <c r="F169" s="6"/>
      <c r="G169" s="6"/>
      <c r="H169" s="6"/>
      <c r="I169" s="10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6">
      <c r="A170" s="10"/>
      <c r="B170" s="6"/>
      <c r="C170" s="6"/>
      <c r="D170" s="6"/>
      <c r="E170" s="10"/>
      <c r="F170" s="6"/>
      <c r="G170" s="6"/>
      <c r="H170" s="6"/>
      <c r="I170" s="1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6">
      <c r="A171" s="10"/>
      <c r="B171" s="6"/>
      <c r="C171" s="6"/>
      <c r="D171" s="6"/>
      <c r="E171" s="10"/>
      <c r="F171" s="6"/>
      <c r="G171" s="6"/>
      <c r="H171" s="6"/>
      <c r="I171" s="10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6">
      <c r="A172" s="10"/>
      <c r="B172" s="6"/>
      <c r="C172" s="6"/>
      <c r="D172" s="6"/>
      <c r="E172" s="10"/>
      <c r="F172" s="6"/>
      <c r="G172" s="6"/>
      <c r="H172" s="6"/>
      <c r="I172" s="10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6">
      <c r="A173" s="10"/>
      <c r="B173" s="6"/>
      <c r="C173" s="6"/>
      <c r="D173" s="6"/>
      <c r="E173" s="10"/>
      <c r="F173" s="6"/>
      <c r="G173" s="6"/>
      <c r="H173" s="6"/>
      <c r="I173" s="10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6">
      <c r="A174" s="10"/>
      <c r="B174" s="6"/>
      <c r="C174" s="6"/>
      <c r="D174" s="6"/>
      <c r="E174" s="10"/>
      <c r="F174" s="6"/>
      <c r="G174" s="6"/>
      <c r="H174" s="6"/>
      <c r="I174" s="10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6">
      <c r="A175" s="10"/>
      <c r="B175" s="6"/>
      <c r="C175" s="6"/>
      <c r="D175" s="6"/>
      <c r="E175" s="10"/>
      <c r="F175" s="6"/>
      <c r="G175" s="6"/>
      <c r="H175" s="6"/>
      <c r="I175" s="10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6">
      <c r="A176" s="10"/>
      <c r="B176" s="6"/>
      <c r="C176" s="6"/>
      <c r="D176" s="6"/>
      <c r="E176" s="10"/>
      <c r="F176" s="6"/>
      <c r="G176" s="6"/>
      <c r="H176" s="6"/>
      <c r="I176" s="10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6">
      <c r="A177" s="10"/>
      <c r="B177" s="6"/>
      <c r="C177" s="6"/>
      <c r="D177" s="6"/>
      <c r="E177" s="10"/>
      <c r="F177" s="6"/>
      <c r="G177" s="6"/>
      <c r="H177" s="6"/>
      <c r="I177" s="10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6">
      <c r="A178" s="10"/>
      <c r="B178" s="6"/>
      <c r="C178" s="6"/>
      <c r="D178" s="6"/>
      <c r="E178" s="10"/>
      <c r="F178" s="6"/>
      <c r="G178" s="6"/>
      <c r="H178" s="6"/>
      <c r="I178" s="10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6">
      <c r="A179" s="10"/>
      <c r="B179" s="6"/>
      <c r="C179" s="6"/>
      <c r="D179" s="6"/>
      <c r="E179" s="10"/>
      <c r="F179" s="6"/>
      <c r="G179" s="6"/>
      <c r="H179" s="6"/>
      <c r="I179" s="10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6">
      <c r="A180" s="10"/>
      <c r="B180" s="6"/>
      <c r="C180" s="6"/>
      <c r="D180" s="6"/>
      <c r="E180" s="10"/>
      <c r="F180" s="6"/>
      <c r="G180" s="6"/>
      <c r="H180" s="6"/>
      <c r="I180" s="10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6">
      <c r="A181" s="10"/>
      <c r="B181" s="6"/>
      <c r="C181" s="6"/>
      <c r="D181" s="6"/>
      <c r="E181" s="10"/>
      <c r="F181" s="6"/>
      <c r="G181" s="6"/>
      <c r="H181" s="6"/>
      <c r="I181" s="10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6">
      <c r="A182" s="10"/>
      <c r="B182" s="6"/>
      <c r="C182" s="6"/>
      <c r="D182" s="6"/>
      <c r="E182" s="10"/>
      <c r="F182" s="6"/>
      <c r="G182" s="6"/>
      <c r="H182" s="6"/>
      <c r="I182" s="10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6">
      <c r="A183" s="10"/>
      <c r="B183" s="6"/>
      <c r="C183" s="6"/>
      <c r="D183" s="6"/>
      <c r="E183" s="10"/>
      <c r="F183" s="6"/>
      <c r="G183" s="6"/>
      <c r="H183" s="6"/>
      <c r="I183" s="10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6">
      <c r="A184" s="10"/>
      <c r="B184" s="6"/>
      <c r="C184" s="6"/>
      <c r="D184" s="6"/>
      <c r="E184" s="10"/>
      <c r="F184" s="6"/>
      <c r="G184" s="6"/>
      <c r="H184" s="6"/>
      <c r="I184" s="10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6">
      <c r="A185" s="10"/>
      <c r="B185" s="6"/>
      <c r="C185" s="6"/>
      <c r="D185" s="6"/>
      <c r="E185" s="10"/>
      <c r="F185" s="6"/>
      <c r="G185" s="6"/>
      <c r="H185" s="6"/>
      <c r="I185" s="10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6">
      <c r="A186" s="10"/>
      <c r="B186" s="6"/>
      <c r="C186" s="6"/>
      <c r="D186" s="6"/>
      <c r="E186" s="10"/>
      <c r="F186" s="6"/>
      <c r="G186" s="6"/>
      <c r="H186" s="6"/>
      <c r="I186" s="10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6">
      <c r="A187" s="10"/>
      <c r="B187" s="6"/>
      <c r="C187" s="6"/>
      <c r="D187" s="6"/>
      <c r="E187" s="10"/>
      <c r="F187" s="6"/>
      <c r="G187" s="6"/>
      <c r="H187" s="6"/>
      <c r="I187" s="10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6">
      <c r="A188" s="10"/>
      <c r="B188" s="6"/>
      <c r="C188" s="6"/>
      <c r="D188" s="6"/>
      <c r="E188" s="10"/>
      <c r="F188" s="6"/>
      <c r="G188" s="6"/>
      <c r="H188" s="6"/>
      <c r="I188" s="10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6">
      <c r="A189" s="10"/>
      <c r="B189" s="6"/>
      <c r="C189" s="6"/>
      <c r="D189" s="6"/>
      <c r="E189" s="10"/>
      <c r="F189" s="6"/>
      <c r="G189" s="6"/>
      <c r="H189" s="6"/>
      <c r="I189" s="10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6">
      <c r="A190" s="10"/>
      <c r="B190" s="6"/>
      <c r="C190" s="6"/>
      <c r="D190" s="6"/>
      <c r="E190" s="10"/>
      <c r="F190" s="6"/>
      <c r="G190" s="6"/>
      <c r="H190" s="6"/>
      <c r="I190" s="1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6">
      <c r="A191" s="10"/>
      <c r="B191" s="6"/>
      <c r="C191" s="6"/>
      <c r="D191" s="6"/>
      <c r="E191" s="10"/>
      <c r="F191" s="6"/>
      <c r="G191" s="6"/>
      <c r="H191" s="6"/>
      <c r="I191" s="10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6">
      <c r="A192" s="10"/>
      <c r="B192" s="6"/>
      <c r="C192" s="6"/>
      <c r="D192" s="6"/>
      <c r="E192" s="10"/>
      <c r="F192" s="6"/>
      <c r="G192" s="6"/>
      <c r="H192" s="6"/>
      <c r="I192" s="10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</row>
    <row r="193" spans="1:27" ht="16">
      <c r="A193" s="10"/>
      <c r="B193" s="6"/>
      <c r="C193" s="6"/>
      <c r="D193" s="6"/>
      <c r="E193" s="10"/>
      <c r="F193" s="6"/>
      <c r="G193" s="6"/>
      <c r="H193" s="6"/>
      <c r="I193" s="10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</row>
    <row r="194" spans="1:27" ht="16">
      <c r="A194" s="10"/>
      <c r="B194" s="6"/>
      <c r="C194" s="6"/>
      <c r="D194" s="6"/>
      <c r="E194" s="10"/>
      <c r="F194" s="6"/>
      <c r="G194" s="6"/>
      <c r="H194" s="6"/>
      <c r="I194" s="10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</row>
    <row r="195" spans="1:27" ht="16">
      <c r="A195" s="10"/>
      <c r="B195" s="6"/>
      <c r="C195" s="6"/>
      <c r="D195" s="6"/>
      <c r="E195" s="10"/>
      <c r="F195" s="6"/>
      <c r="G195" s="6"/>
      <c r="H195" s="6"/>
      <c r="I195" s="10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</row>
    <row r="196" spans="1:27" ht="16">
      <c r="A196" s="10"/>
      <c r="B196" s="6"/>
      <c r="C196" s="6"/>
      <c r="D196" s="6"/>
      <c r="E196" s="10"/>
      <c r="F196" s="6"/>
      <c r="G196" s="6"/>
      <c r="H196" s="6"/>
      <c r="I196" s="10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</row>
    <row r="197" spans="1:27" ht="16">
      <c r="A197" s="10"/>
      <c r="B197" s="6"/>
      <c r="C197" s="6"/>
      <c r="D197" s="6"/>
      <c r="E197" s="10"/>
      <c r="F197" s="6"/>
      <c r="G197" s="6"/>
      <c r="H197" s="6"/>
      <c r="I197" s="10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</row>
    <row r="198" spans="1:27" ht="16">
      <c r="A198" s="10"/>
      <c r="B198" s="6"/>
      <c r="C198" s="6"/>
      <c r="D198" s="6"/>
      <c r="E198" s="10"/>
      <c r="F198" s="6"/>
      <c r="G198" s="6"/>
      <c r="H198" s="6"/>
      <c r="I198" s="10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</row>
    <row r="199" spans="1:27" ht="16">
      <c r="A199" s="10"/>
      <c r="B199" s="6"/>
      <c r="C199" s="6"/>
      <c r="D199" s="6"/>
      <c r="E199" s="10"/>
      <c r="F199" s="6"/>
      <c r="G199" s="6"/>
      <c r="H199" s="6"/>
      <c r="I199" s="10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</row>
    <row r="200" spans="1:27" ht="16">
      <c r="A200" s="10"/>
      <c r="B200" s="6"/>
      <c r="C200" s="6"/>
      <c r="D200" s="6"/>
      <c r="E200" s="10"/>
      <c r="F200" s="6"/>
      <c r="G200" s="6"/>
      <c r="H200" s="6"/>
      <c r="I200" s="1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</row>
    <row r="201" spans="1:27" ht="16">
      <c r="A201" s="10"/>
      <c r="B201" s="6"/>
      <c r="C201" s="6"/>
      <c r="D201" s="6"/>
      <c r="E201" s="10"/>
      <c r="F201" s="6"/>
      <c r="G201" s="6"/>
      <c r="H201" s="6"/>
      <c r="I201" s="10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</row>
    <row r="202" spans="1:27" ht="16">
      <c r="A202" s="10"/>
      <c r="B202" s="6"/>
      <c r="C202" s="6"/>
      <c r="D202" s="6"/>
      <c r="E202" s="10"/>
      <c r="F202" s="6"/>
      <c r="G202" s="6"/>
      <c r="H202" s="6"/>
      <c r="I202" s="10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6">
      <c r="A203" s="10"/>
      <c r="B203" s="6"/>
      <c r="C203" s="6"/>
      <c r="D203" s="6"/>
      <c r="E203" s="10"/>
      <c r="F203" s="6"/>
      <c r="G203" s="6"/>
      <c r="H203" s="6"/>
      <c r="I203" s="10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6">
      <c r="A204" s="10"/>
      <c r="B204" s="6"/>
      <c r="C204" s="6"/>
      <c r="D204" s="6"/>
      <c r="E204" s="10"/>
      <c r="F204" s="6"/>
      <c r="G204" s="6"/>
      <c r="H204" s="6"/>
      <c r="I204" s="10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6">
      <c r="A205" s="10"/>
      <c r="B205" s="6"/>
      <c r="C205" s="6"/>
      <c r="D205" s="6"/>
      <c r="E205" s="10"/>
      <c r="F205" s="6"/>
      <c r="G205" s="6"/>
      <c r="H205" s="6"/>
      <c r="I205" s="10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6">
      <c r="A206" s="10"/>
      <c r="B206" s="6"/>
      <c r="C206" s="6"/>
      <c r="D206" s="6"/>
      <c r="E206" s="10"/>
      <c r="F206" s="6"/>
      <c r="G206" s="6"/>
      <c r="H206" s="6"/>
      <c r="I206" s="10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6">
      <c r="A207" s="10"/>
      <c r="B207" s="6"/>
      <c r="C207" s="6"/>
      <c r="D207" s="6"/>
      <c r="E207" s="10"/>
      <c r="F207" s="6"/>
      <c r="G207" s="6"/>
      <c r="H207" s="6"/>
      <c r="I207" s="10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6">
      <c r="A208" s="10"/>
      <c r="B208" s="6"/>
      <c r="C208" s="6"/>
      <c r="D208" s="6"/>
      <c r="E208" s="10"/>
      <c r="F208" s="6"/>
      <c r="G208" s="6"/>
      <c r="H208" s="6"/>
      <c r="I208" s="10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6">
      <c r="A209" s="10"/>
      <c r="B209" s="6"/>
      <c r="C209" s="6"/>
      <c r="D209" s="6"/>
      <c r="E209" s="10"/>
      <c r="F209" s="6"/>
      <c r="G209" s="6"/>
      <c r="H209" s="6"/>
      <c r="I209" s="10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6">
      <c r="A210" s="10"/>
      <c r="B210" s="6"/>
      <c r="C210" s="6"/>
      <c r="D210" s="6"/>
      <c r="E210" s="10"/>
      <c r="F210" s="6"/>
      <c r="G210" s="6"/>
      <c r="H210" s="6"/>
      <c r="I210" s="10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6">
      <c r="A211" s="10"/>
      <c r="B211" s="6"/>
      <c r="C211" s="6"/>
      <c r="D211" s="6"/>
      <c r="E211" s="10"/>
      <c r="F211" s="6"/>
      <c r="G211" s="6"/>
      <c r="H211" s="6"/>
      <c r="I211" s="10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6">
      <c r="A212" s="10"/>
      <c r="B212" s="6"/>
      <c r="C212" s="6"/>
      <c r="D212" s="6"/>
      <c r="E212" s="10"/>
      <c r="F212" s="6"/>
      <c r="G212" s="6"/>
      <c r="H212" s="6"/>
      <c r="I212" s="10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6">
      <c r="A213" s="10"/>
      <c r="B213" s="6"/>
      <c r="C213" s="6"/>
      <c r="D213" s="6"/>
      <c r="E213" s="10"/>
      <c r="F213" s="6"/>
      <c r="G213" s="6"/>
      <c r="H213" s="6"/>
      <c r="I213" s="10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6">
      <c r="A214" s="10"/>
      <c r="B214" s="6"/>
      <c r="C214" s="6"/>
      <c r="D214" s="6"/>
      <c r="E214" s="10"/>
      <c r="F214" s="6"/>
      <c r="G214" s="6"/>
      <c r="H214" s="6"/>
      <c r="I214" s="10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6">
      <c r="A215" s="10"/>
      <c r="B215" s="6"/>
      <c r="C215" s="6"/>
      <c r="D215" s="6"/>
      <c r="E215" s="10"/>
      <c r="F215" s="6"/>
      <c r="G215" s="6"/>
      <c r="H215" s="6"/>
      <c r="I215" s="10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6">
      <c r="A216" s="10"/>
      <c r="B216" s="6"/>
      <c r="C216" s="6"/>
      <c r="D216" s="6"/>
      <c r="E216" s="10"/>
      <c r="F216" s="6"/>
      <c r="G216" s="6"/>
      <c r="H216" s="6"/>
      <c r="I216" s="10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6">
      <c r="A217" s="10"/>
      <c r="B217" s="6"/>
      <c r="C217" s="6"/>
      <c r="D217" s="6"/>
      <c r="E217" s="10"/>
      <c r="F217" s="6"/>
      <c r="G217" s="6"/>
      <c r="H217" s="6"/>
      <c r="I217" s="10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6">
      <c r="A218" s="10"/>
      <c r="B218" s="6"/>
      <c r="C218" s="6"/>
      <c r="D218" s="6"/>
      <c r="E218" s="10"/>
      <c r="F218" s="6"/>
      <c r="G218" s="6"/>
      <c r="H218" s="6"/>
      <c r="I218" s="10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6">
      <c r="A219" s="10"/>
      <c r="B219" s="6"/>
      <c r="C219" s="6"/>
      <c r="D219" s="6"/>
      <c r="E219" s="10"/>
      <c r="F219" s="6"/>
      <c r="G219" s="6"/>
      <c r="H219" s="6"/>
      <c r="I219" s="10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6">
      <c r="A220" s="10"/>
      <c r="B220" s="6"/>
      <c r="C220" s="6"/>
      <c r="D220" s="6"/>
      <c r="E220" s="10"/>
      <c r="F220" s="6"/>
      <c r="G220" s="6"/>
      <c r="H220" s="6"/>
      <c r="I220" s="10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6">
      <c r="A221" s="10"/>
      <c r="B221" s="6"/>
      <c r="C221" s="6"/>
      <c r="D221" s="6"/>
      <c r="E221" s="10"/>
      <c r="F221" s="6"/>
      <c r="G221" s="6"/>
      <c r="H221" s="6"/>
      <c r="I221" s="10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6">
      <c r="A222" s="10"/>
      <c r="B222" s="6"/>
      <c r="C222" s="6"/>
      <c r="D222" s="6"/>
      <c r="E222" s="10"/>
      <c r="F222" s="6"/>
      <c r="G222" s="6"/>
      <c r="H222" s="6"/>
      <c r="I222" s="10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6">
      <c r="A223" s="10"/>
      <c r="B223" s="6"/>
      <c r="C223" s="6"/>
      <c r="D223" s="6"/>
      <c r="E223" s="10"/>
      <c r="F223" s="6"/>
      <c r="G223" s="6"/>
      <c r="H223" s="6"/>
      <c r="I223" s="10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6">
      <c r="A224" s="10"/>
      <c r="B224" s="6"/>
      <c r="C224" s="6"/>
      <c r="D224" s="6"/>
      <c r="E224" s="10"/>
      <c r="F224" s="6"/>
      <c r="G224" s="6"/>
      <c r="H224" s="6"/>
      <c r="I224" s="10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6">
      <c r="A225" s="10"/>
      <c r="B225" s="6"/>
      <c r="C225" s="6"/>
      <c r="D225" s="6"/>
      <c r="E225" s="10"/>
      <c r="F225" s="6"/>
      <c r="G225" s="6"/>
      <c r="H225" s="6"/>
      <c r="I225" s="10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6">
      <c r="A226" s="10"/>
      <c r="B226" s="6"/>
      <c r="C226" s="6"/>
      <c r="D226" s="6"/>
      <c r="E226" s="10"/>
      <c r="F226" s="6"/>
      <c r="G226" s="6"/>
      <c r="H226" s="6"/>
      <c r="I226" s="10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6">
      <c r="A227" s="10"/>
      <c r="B227" s="6"/>
      <c r="C227" s="6"/>
      <c r="D227" s="6"/>
      <c r="E227" s="10"/>
      <c r="F227" s="6"/>
      <c r="G227" s="6"/>
      <c r="H227" s="6"/>
      <c r="I227" s="10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6">
      <c r="A228" s="10"/>
      <c r="B228" s="6"/>
      <c r="C228" s="6"/>
      <c r="D228" s="6"/>
      <c r="E228" s="10"/>
      <c r="F228" s="6"/>
      <c r="G228" s="6"/>
      <c r="H228" s="6"/>
      <c r="I228" s="10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6">
      <c r="A229" s="10"/>
      <c r="B229" s="6"/>
      <c r="C229" s="6"/>
      <c r="D229" s="6"/>
      <c r="E229" s="10"/>
      <c r="F229" s="6"/>
      <c r="G229" s="6"/>
      <c r="H229" s="6"/>
      <c r="I229" s="10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6">
      <c r="A230" s="10"/>
      <c r="B230" s="6"/>
      <c r="C230" s="6"/>
      <c r="D230" s="6"/>
      <c r="E230" s="10"/>
      <c r="F230" s="6"/>
      <c r="G230" s="6"/>
      <c r="H230" s="6"/>
      <c r="I230" s="1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6">
      <c r="A231" s="10"/>
      <c r="B231" s="6"/>
      <c r="C231" s="6"/>
      <c r="D231" s="6"/>
      <c r="E231" s="10"/>
      <c r="F231" s="6"/>
      <c r="G231" s="6"/>
      <c r="H231" s="6"/>
      <c r="I231" s="10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6">
      <c r="A232" s="10"/>
      <c r="B232" s="6"/>
      <c r="C232" s="6"/>
      <c r="D232" s="6"/>
      <c r="E232" s="10"/>
      <c r="F232" s="6"/>
      <c r="G232" s="6"/>
      <c r="H232" s="6"/>
      <c r="I232" s="10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6">
      <c r="A233" s="10"/>
      <c r="B233" s="6"/>
      <c r="C233" s="6"/>
      <c r="D233" s="6"/>
      <c r="E233" s="10"/>
      <c r="F233" s="6"/>
      <c r="G233" s="6"/>
      <c r="H233" s="6"/>
      <c r="I233" s="10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6">
      <c r="A234" s="10"/>
      <c r="B234" s="6"/>
      <c r="C234" s="6"/>
      <c r="D234" s="6"/>
      <c r="E234" s="10"/>
      <c r="F234" s="6"/>
      <c r="G234" s="6"/>
      <c r="H234" s="6"/>
      <c r="I234" s="10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6">
      <c r="A235" s="10"/>
      <c r="B235" s="6"/>
      <c r="C235" s="6"/>
      <c r="D235" s="6"/>
      <c r="E235" s="10"/>
      <c r="F235" s="6"/>
      <c r="G235" s="6"/>
      <c r="H235" s="6"/>
      <c r="I235" s="10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6">
      <c r="A236" s="10"/>
      <c r="B236" s="6"/>
      <c r="C236" s="6"/>
      <c r="D236" s="6"/>
      <c r="E236" s="10"/>
      <c r="F236" s="6"/>
      <c r="G236" s="6"/>
      <c r="H236" s="6"/>
      <c r="I236" s="10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6">
      <c r="A237" s="10"/>
      <c r="B237" s="6"/>
      <c r="C237" s="6"/>
      <c r="D237" s="6"/>
      <c r="E237" s="10"/>
      <c r="F237" s="6"/>
      <c r="G237" s="6"/>
      <c r="H237" s="6"/>
      <c r="I237" s="10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6">
      <c r="A238" s="10"/>
      <c r="B238" s="6"/>
      <c r="C238" s="6"/>
      <c r="D238" s="6"/>
      <c r="E238" s="10"/>
      <c r="F238" s="6"/>
      <c r="G238" s="6"/>
      <c r="H238" s="6"/>
      <c r="I238" s="10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6">
      <c r="A239" s="10"/>
      <c r="B239" s="6"/>
      <c r="C239" s="6"/>
      <c r="D239" s="6"/>
      <c r="E239" s="10"/>
      <c r="F239" s="6"/>
      <c r="G239" s="6"/>
      <c r="H239" s="6"/>
      <c r="I239" s="10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6">
      <c r="A240" s="10"/>
      <c r="B240" s="6"/>
      <c r="C240" s="6"/>
      <c r="D240" s="6"/>
      <c r="E240" s="10"/>
      <c r="F240" s="6"/>
      <c r="G240" s="6"/>
      <c r="H240" s="6"/>
      <c r="I240" s="10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6">
      <c r="A241" s="10"/>
      <c r="B241" s="6"/>
      <c r="C241" s="6"/>
      <c r="D241" s="6"/>
      <c r="E241" s="10"/>
      <c r="F241" s="6"/>
      <c r="G241" s="6"/>
      <c r="H241" s="6"/>
      <c r="I241" s="10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6">
      <c r="A242" s="10"/>
      <c r="B242" s="6"/>
      <c r="C242" s="6"/>
      <c r="D242" s="6"/>
      <c r="E242" s="10"/>
      <c r="F242" s="6"/>
      <c r="G242" s="6"/>
      <c r="H242" s="6"/>
      <c r="I242" s="10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6">
      <c r="A243" s="10"/>
      <c r="B243" s="6"/>
      <c r="C243" s="6"/>
      <c r="D243" s="6"/>
      <c r="E243" s="10"/>
      <c r="F243" s="6"/>
      <c r="G243" s="6"/>
      <c r="H243" s="6"/>
      <c r="I243" s="10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6">
      <c r="A244" s="10"/>
      <c r="B244" s="6"/>
      <c r="C244" s="6"/>
      <c r="D244" s="6"/>
      <c r="E244" s="10"/>
      <c r="F244" s="6"/>
      <c r="G244" s="6"/>
      <c r="H244" s="6"/>
      <c r="I244" s="10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6">
      <c r="A245" s="10"/>
      <c r="B245" s="6"/>
      <c r="C245" s="6"/>
      <c r="D245" s="6"/>
      <c r="E245" s="10"/>
      <c r="F245" s="6"/>
      <c r="G245" s="6"/>
      <c r="H245" s="6"/>
      <c r="I245" s="10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6">
      <c r="A246" s="10"/>
      <c r="B246" s="6"/>
      <c r="C246" s="6"/>
      <c r="D246" s="6"/>
      <c r="E246" s="10"/>
      <c r="F246" s="6"/>
      <c r="G246" s="6"/>
      <c r="H246" s="6"/>
      <c r="I246" s="10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6">
      <c r="A247" s="10"/>
      <c r="B247" s="6"/>
      <c r="C247" s="6"/>
      <c r="D247" s="6"/>
      <c r="E247" s="10"/>
      <c r="F247" s="6"/>
      <c r="G247" s="6"/>
      <c r="H247" s="6"/>
      <c r="I247" s="10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6">
      <c r="A248" s="10"/>
      <c r="B248" s="6"/>
      <c r="C248" s="6"/>
      <c r="D248" s="6"/>
      <c r="E248" s="10"/>
      <c r="F248" s="6"/>
      <c r="G248" s="6"/>
      <c r="H248" s="6"/>
      <c r="I248" s="10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6">
      <c r="A249" s="10"/>
      <c r="B249" s="6"/>
      <c r="C249" s="6"/>
      <c r="D249" s="6"/>
      <c r="E249" s="10"/>
      <c r="F249" s="6"/>
      <c r="G249" s="6"/>
      <c r="H249" s="6"/>
      <c r="I249" s="10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6">
      <c r="A250" s="10"/>
      <c r="B250" s="6"/>
      <c r="C250" s="6"/>
      <c r="D250" s="6"/>
      <c r="E250" s="10"/>
      <c r="F250" s="6"/>
      <c r="G250" s="6"/>
      <c r="H250" s="6"/>
      <c r="I250" s="10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6">
      <c r="A251" s="10"/>
      <c r="B251" s="6"/>
      <c r="C251" s="6"/>
      <c r="D251" s="6"/>
      <c r="E251" s="10"/>
      <c r="F251" s="6"/>
      <c r="G251" s="6"/>
      <c r="H251" s="6"/>
      <c r="I251" s="10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6">
      <c r="A252" s="10"/>
      <c r="B252" s="6"/>
      <c r="C252" s="6"/>
      <c r="D252" s="6"/>
      <c r="E252" s="10"/>
      <c r="F252" s="6"/>
      <c r="G252" s="6"/>
      <c r="H252" s="6"/>
      <c r="I252" s="10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6">
      <c r="A253" s="10"/>
      <c r="B253" s="6"/>
      <c r="C253" s="6"/>
      <c r="D253" s="6"/>
      <c r="E253" s="10"/>
      <c r="F253" s="6"/>
      <c r="G253" s="6"/>
      <c r="H253" s="6"/>
      <c r="I253" s="10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6">
      <c r="A254" s="10"/>
      <c r="B254" s="6"/>
      <c r="C254" s="6"/>
      <c r="D254" s="6"/>
      <c r="E254" s="10"/>
      <c r="F254" s="6"/>
      <c r="G254" s="6"/>
      <c r="H254" s="6"/>
      <c r="I254" s="10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6">
      <c r="A255" s="10"/>
      <c r="B255" s="6"/>
      <c r="C255" s="6"/>
      <c r="D255" s="6"/>
      <c r="E255" s="10"/>
      <c r="F255" s="6"/>
      <c r="G255" s="6"/>
      <c r="H255" s="6"/>
      <c r="I255" s="10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6">
      <c r="A256" s="10"/>
      <c r="B256" s="6"/>
      <c r="C256" s="6"/>
      <c r="D256" s="6"/>
      <c r="E256" s="10"/>
      <c r="F256" s="6"/>
      <c r="G256" s="6"/>
      <c r="H256" s="6"/>
      <c r="I256" s="10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6">
      <c r="A257" s="10"/>
      <c r="B257" s="6"/>
      <c r="C257" s="6"/>
      <c r="D257" s="6"/>
      <c r="E257" s="10"/>
      <c r="F257" s="6"/>
      <c r="G257" s="6"/>
      <c r="H257" s="6"/>
      <c r="I257" s="10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6">
      <c r="A258" s="10"/>
      <c r="B258" s="6"/>
      <c r="C258" s="6"/>
      <c r="D258" s="6"/>
      <c r="E258" s="10"/>
      <c r="F258" s="6"/>
      <c r="G258" s="6"/>
      <c r="H258" s="6"/>
      <c r="I258" s="10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6">
      <c r="A259" s="10"/>
      <c r="B259" s="6"/>
      <c r="C259" s="6"/>
      <c r="D259" s="6"/>
      <c r="E259" s="10"/>
      <c r="F259" s="6"/>
      <c r="G259" s="6"/>
      <c r="H259" s="6"/>
      <c r="I259" s="10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6">
      <c r="A260" s="10"/>
      <c r="B260" s="6"/>
      <c r="C260" s="6"/>
      <c r="D260" s="6"/>
      <c r="E260" s="10"/>
      <c r="F260" s="6"/>
      <c r="G260" s="6"/>
      <c r="H260" s="6"/>
      <c r="I260" s="10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6">
      <c r="A261" s="10"/>
      <c r="B261" s="6"/>
      <c r="C261" s="6"/>
      <c r="D261" s="6"/>
      <c r="E261" s="10"/>
      <c r="F261" s="6"/>
      <c r="G261" s="6"/>
      <c r="H261" s="6"/>
      <c r="I261" s="10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6">
      <c r="A262" s="10"/>
      <c r="B262" s="6"/>
      <c r="C262" s="6"/>
      <c r="D262" s="6"/>
      <c r="E262" s="10"/>
      <c r="F262" s="6"/>
      <c r="G262" s="6"/>
      <c r="H262" s="6"/>
      <c r="I262" s="10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6">
      <c r="A263" s="10"/>
      <c r="B263" s="6"/>
      <c r="C263" s="6"/>
      <c r="D263" s="6"/>
      <c r="E263" s="10"/>
      <c r="F263" s="6"/>
      <c r="G263" s="6"/>
      <c r="H263" s="6"/>
      <c r="I263" s="10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6">
      <c r="A264" s="10"/>
      <c r="B264" s="6"/>
      <c r="C264" s="6"/>
      <c r="D264" s="6"/>
      <c r="E264" s="10"/>
      <c r="F264" s="6"/>
      <c r="G264" s="6"/>
      <c r="H264" s="6"/>
      <c r="I264" s="10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6">
      <c r="A265" s="10"/>
      <c r="B265" s="6"/>
      <c r="C265" s="6"/>
      <c r="D265" s="6"/>
      <c r="E265" s="10"/>
      <c r="F265" s="6"/>
      <c r="G265" s="6"/>
      <c r="H265" s="6"/>
      <c r="I265" s="10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6">
      <c r="A266" s="10"/>
      <c r="B266" s="6"/>
      <c r="C266" s="6"/>
      <c r="D266" s="6"/>
      <c r="E266" s="10"/>
      <c r="F266" s="6"/>
      <c r="G266" s="6"/>
      <c r="H266" s="6"/>
      <c r="I266" s="10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6">
      <c r="A267" s="10"/>
      <c r="B267" s="6"/>
      <c r="C267" s="6"/>
      <c r="D267" s="6"/>
      <c r="E267" s="10"/>
      <c r="F267" s="6"/>
      <c r="G267" s="6"/>
      <c r="H267" s="6"/>
      <c r="I267" s="10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6">
      <c r="A268" s="10"/>
      <c r="B268" s="6"/>
      <c r="C268" s="6"/>
      <c r="D268" s="6"/>
      <c r="E268" s="10"/>
      <c r="F268" s="6"/>
      <c r="G268" s="6"/>
      <c r="H268" s="6"/>
      <c r="I268" s="10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6">
      <c r="A269" s="10"/>
      <c r="B269" s="6"/>
      <c r="C269" s="6"/>
      <c r="D269" s="6"/>
      <c r="E269" s="10"/>
      <c r="F269" s="6"/>
      <c r="G269" s="6"/>
      <c r="H269" s="6"/>
      <c r="I269" s="10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6">
      <c r="A270" s="10"/>
      <c r="B270" s="6"/>
      <c r="C270" s="6"/>
      <c r="D270" s="6"/>
      <c r="E270" s="10"/>
      <c r="F270" s="6"/>
      <c r="G270" s="6"/>
      <c r="H270" s="6"/>
      <c r="I270" s="10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6">
      <c r="A271" s="10"/>
      <c r="B271" s="6"/>
      <c r="C271" s="6"/>
      <c r="D271" s="6"/>
      <c r="E271" s="10"/>
      <c r="F271" s="6"/>
      <c r="G271" s="6"/>
      <c r="H271" s="6"/>
      <c r="I271" s="10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6">
      <c r="A272" s="10"/>
      <c r="B272" s="6"/>
      <c r="C272" s="6"/>
      <c r="D272" s="6"/>
      <c r="E272" s="10"/>
      <c r="F272" s="6"/>
      <c r="G272" s="6"/>
      <c r="H272" s="6"/>
      <c r="I272" s="10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</row>
    <row r="273" spans="1:27" ht="16">
      <c r="A273" s="10"/>
      <c r="B273" s="6"/>
      <c r="C273" s="6"/>
      <c r="D273" s="6"/>
      <c r="E273" s="10"/>
      <c r="F273" s="6"/>
      <c r="G273" s="6"/>
      <c r="H273" s="6"/>
      <c r="I273" s="10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</row>
    <row r="274" spans="1:27" ht="16">
      <c r="A274" s="10"/>
      <c r="B274" s="6"/>
      <c r="C274" s="6"/>
      <c r="D274" s="6"/>
      <c r="E274" s="10"/>
      <c r="F274" s="6"/>
      <c r="G274" s="6"/>
      <c r="H274" s="6"/>
      <c r="I274" s="10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</row>
    <row r="275" spans="1:27" ht="16">
      <c r="A275" s="10"/>
      <c r="B275" s="6"/>
      <c r="C275" s="6"/>
      <c r="D275" s="6"/>
      <c r="E275" s="10"/>
      <c r="F275" s="6"/>
      <c r="G275" s="6"/>
      <c r="H275" s="6"/>
      <c r="I275" s="10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</row>
    <row r="276" spans="1:27" ht="16">
      <c r="A276" s="10"/>
      <c r="B276" s="6"/>
      <c r="C276" s="6"/>
      <c r="D276" s="6"/>
      <c r="E276" s="10"/>
      <c r="F276" s="6"/>
      <c r="G276" s="6"/>
      <c r="H276" s="6"/>
      <c r="I276" s="10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</row>
    <row r="277" spans="1:27" ht="16">
      <c r="A277" s="10"/>
      <c r="B277" s="6"/>
      <c r="C277" s="6"/>
      <c r="D277" s="6"/>
      <c r="E277" s="10"/>
      <c r="F277" s="6"/>
      <c r="G277" s="6"/>
      <c r="H277" s="6"/>
      <c r="I277" s="10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</row>
    <row r="278" spans="1:27" ht="16">
      <c r="A278" s="10"/>
      <c r="B278" s="6"/>
      <c r="C278" s="6"/>
      <c r="D278" s="6"/>
      <c r="E278" s="10"/>
      <c r="F278" s="6"/>
      <c r="G278" s="6"/>
      <c r="H278" s="6"/>
      <c r="I278" s="10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</row>
    <row r="279" spans="1:27" ht="16">
      <c r="A279" s="10"/>
      <c r="B279" s="6"/>
      <c r="C279" s="6"/>
      <c r="D279" s="6"/>
      <c r="E279" s="10"/>
      <c r="F279" s="6"/>
      <c r="G279" s="6"/>
      <c r="H279" s="6"/>
      <c r="I279" s="10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</row>
    <row r="280" spans="1:27" ht="16">
      <c r="A280" s="10"/>
      <c r="B280" s="6"/>
      <c r="C280" s="6"/>
      <c r="D280" s="6"/>
      <c r="E280" s="10"/>
      <c r="F280" s="6"/>
      <c r="G280" s="6"/>
      <c r="H280" s="6"/>
      <c r="I280" s="10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</row>
    <row r="281" spans="1:27" ht="16">
      <c r="A281" s="10"/>
      <c r="B281" s="6"/>
      <c r="C281" s="6"/>
      <c r="D281" s="6"/>
      <c r="E281" s="10"/>
      <c r="F281" s="6"/>
      <c r="G281" s="6"/>
      <c r="H281" s="6"/>
      <c r="I281" s="10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</row>
    <row r="282" spans="1:27" ht="16">
      <c r="A282" s="10"/>
      <c r="B282" s="6"/>
      <c r="C282" s="6"/>
      <c r="D282" s="6"/>
      <c r="E282" s="10"/>
      <c r="F282" s="6"/>
      <c r="G282" s="6"/>
      <c r="H282" s="6"/>
      <c r="I282" s="10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</row>
    <row r="283" spans="1:27" ht="16">
      <c r="A283" s="10"/>
      <c r="B283" s="6"/>
      <c r="C283" s="6"/>
      <c r="D283" s="6"/>
      <c r="E283" s="10"/>
      <c r="F283" s="6"/>
      <c r="G283" s="6"/>
      <c r="H283" s="6"/>
      <c r="I283" s="10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6">
      <c r="A284" s="10"/>
      <c r="B284" s="6"/>
      <c r="C284" s="6"/>
      <c r="D284" s="6"/>
      <c r="E284" s="10"/>
      <c r="F284" s="6"/>
      <c r="G284" s="6"/>
      <c r="H284" s="6"/>
      <c r="I284" s="10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6">
      <c r="A285" s="10"/>
      <c r="B285" s="6"/>
      <c r="C285" s="6"/>
      <c r="D285" s="6"/>
      <c r="E285" s="10"/>
      <c r="F285" s="6"/>
      <c r="G285" s="6"/>
      <c r="H285" s="6"/>
      <c r="I285" s="10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6">
      <c r="A286" s="10"/>
      <c r="B286" s="6"/>
      <c r="C286" s="6"/>
      <c r="D286" s="6"/>
      <c r="E286" s="10"/>
      <c r="F286" s="6"/>
      <c r="G286" s="6"/>
      <c r="H286" s="6"/>
      <c r="I286" s="10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6">
      <c r="A287" s="10"/>
      <c r="B287" s="6"/>
      <c r="C287" s="6"/>
      <c r="D287" s="6"/>
      <c r="E287" s="10"/>
      <c r="F287" s="6"/>
      <c r="G287" s="6"/>
      <c r="H287" s="6"/>
      <c r="I287" s="10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6">
      <c r="A288" s="10"/>
      <c r="B288" s="6"/>
      <c r="C288" s="6"/>
      <c r="D288" s="6"/>
      <c r="E288" s="10"/>
      <c r="F288" s="6"/>
      <c r="G288" s="6"/>
      <c r="H288" s="6"/>
      <c r="I288" s="10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6">
      <c r="A289" s="10"/>
      <c r="B289" s="6"/>
      <c r="C289" s="6"/>
      <c r="D289" s="6"/>
      <c r="E289" s="10"/>
      <c r="F289" s="6"/>
      <c r="G289" s="6"/>
      <c r="H289" s="6"/>
      <c r="I289" s="10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6">
      <c r="A290" s="10"/>
      <c r="B290" s="6"/>
      <c r="C290" s="6"/>
      <c r="D290" s="6"/>
      <c r="E290" s="10"/>
      <c r="F290" s="6"/>
      <c r="G290" s="6"/>
      <c r="H290" s="6"/>
      <c r="I290" s="10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6">
      <c r="A291" s="10"/>
      <c r="B291" s="6"/>
      <c r="C291" s="6"/>
      <c r="D291" s="6"/>
      <c r="E291" s="10"/>
      <c r="F291" s="6"/>
      <c r="G291" s="6"/>
      <c r="H291" s="6"/>
      <c r="I291" s="10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6">
      <c r="A292" s="10"/>
      <c r="B292" s="6"/>
      <c r="C292" s="6"/>
      <c r="D292" s="6"/>
      <c r="E292" s="10"/>
      <c r="F292" s="6"/>
      <c r="G292" s="6"/>
      <c r="H292" s="6"/>
      <c r="I292" s="10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6">
      <c r="A293" s="10"/>
      <c r="B293" s="6"/>
      <c r="C293" s="6"/>
      <c r="D293" s="6"/>
      <c r="E293" s="10"/>
      <c r="F293" s="6"/>
      <c r="G293" s="6"/>
      <c r="H293" s="6"/>
      <c r="I293" s="10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6">
      <c r="A294" s="10"/>
      <c r="B294" s="6"/>
      <c r="C294" s="6"/>
      <c r="D294" s="6"/>
      <c r="E294" s="10"/>
      <c r="F294" s="6"/>
      <c r="G294" s="6"/>
      <c r="H294" s="6"/>
      <c r="I294" s="10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6">
      <c r="A295" s="10"/>
      <c r="B295" s="6"/>
      <c r="C295" s="6"/>
      <c r="D295" s="6"/>
      <c r="E295" s="10"/>
      <c r="F295" s="6"/>
      <c r="G295" s="6"/>
      <c r="H295" s="6"/>
      <c r="I295" s="10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6">
      <c r="A296" s="10"/>
      <c r="B296" s="6"/>
      <c r="C296" s="6"/>
      <c r="D296" s="6"/>
      <c r="E296" s="10"/>
      <c r="F296" s="6"/>
      <c r="G296" s="6"/>
      <c r="H296" s="6"/>
      <c r="I296" s="10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6">
      <c r="A297" s="10"/>
      <c r="B297" s="6"/>
      <c r="C297" s="6"/>
      <c r="D297" s="6"/>
      <c r="E297" s="10"/>
      <c r="F297" s="6"/>
      <c r="G297" s="6"/>
      <c r="H297" s="6"/>
      <c r="I297" s="10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6">
      <c r="A298" s="10"/>
      <c r="B298" s="6"/>
      <c r="C298" s="6"/>
      <c r="D298" s="6"/>
      <c r="E298" s="10"/>
      <c r="F298" s="6"/>
      <c r="G298" s="6"/>
      <c r="H298" s="6"/>
      <c r="I298" s="10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6">
      <c r="A299" s="10"/>
      <c r="B299" s="6"/>
      <c r="C299" s="6"/>
      <c r="D299" s="6"/>
      <c r="E299" s="10"/>
      <c r="F299" s="6"/>
      <c r="G299" s="6"/>
      <c r="H299" s="6"/>
      <c r="I299" s="10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6">
      <c r="A300" s="10"/>
      <c r="B300" s="6"/>
      <c r="C300" s="6"/>
      <c r="D300" s="6"/>
      <c r="E300" s="10"/>
      <c r="F300" s="6"/>
      <c r="G300" s="6"/>
      <c r="H300" s="6"/>
      <c r="I300" s="10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6">
      <c r="A301" s="10"/>
      <c r="B301" s="6"/>
      <c r="C301" s="6"/>
      <c r="D301" s="6"/>
      <c r="E301" s="10"/>
      <c r="F301" s="6"/>
      <c r="G301" s="6"/>
      <c r="H301" s="6"/>
      <c r="I301" s="10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6">
      <c r="A302" s="10"/>
      <c r="B302" s="6"/>
      <c r="C302" s="6"/>
      <c r="D302" s="6"/>
      <c r="E302" s="10"/>
      <c r="F302" s="6"/>
      <c r="G302" s="6"/>
      <c r="H302" s="6"/>
      <c r="I302" s="10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6">
      <c r="A303" s="10"/>
      <c r="B303" s="6"/>
      <c r="C303" s="6"/>
      <c r="D303" s="6"/>
      <c r="E303" s="10"/>
      <c r="F303" s="6"/>
      <c r="G303" s="6"/>
      <c r="H303" s="6"/>
      <c r="I303" s="10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6">
      <c r="A304" s="10"/>
      <c r="B304" s="6"/>
      <c r="C304" s="6"/>
      <c r="D304" s="6"/>
      <c r="E304" s="10"/>
      <c r="F304" s="6"/>
      <c r="G304" s="6"/>
      <c r="H304" s="6"/>
      <c r="I304" s="10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6">
      <c r="A305" s="10"/>
      <c r="B305" s="6"/>
      <c r="C305" s="6"/>
      <c r="D305" s="6"/>
      <c r="E305" s="10"/>
      <c r="F305" s="6"/>
      <c r="G305" s="6"/>
      <c r="H305" s="6"/>
      <c r="I305" s="10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6">
      <c r="A306" s="10"/>
      <c r="B306" s="6"/>
      <c r="C306" s="6"/>
      <c r="D306" s="6"/>
      <c r="E306" s="10"/>
      <c r="F306" s="6"/>
      <c r="G306" s="6"/>
      <c r="H306" s="6"/>
      <c r="I306" s="10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6">
      <c r="A307" s="10"/>
      <c r="B307" s="6"/>
      <c r="C307" s="6"/>
      <c r="D307" s="6"/>
      <c r="E307" s="10"/>
      <c r="F307" s="6"/>
      <c r="G307" s="6"/>
      <c r="H307" s="6"/>
      <c r="I307" s="10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6">
      <c r="A308" s="10"/>
      <c r="B308" s="6"/>
      <c r="C308" s="6"/>
      <c r="D308" s="6"/>
      <c r="E308" s="10"/>
      <c r="F308" s="6"/>
      <c r="G308" s="6"/>
      <c r="H308" s="6"/>
      <c r="I308" s="10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6">
      <c r="A309" s="10"/>
      <c r="B309" s="6"/>
      <c r="C309" s="6"/>
      <c r="D309" s="6"/>
      <c r="E309" s="10"/>
      <c r="F309" s="6"/>
      <c r="G309" s="6"/>
      <c r="H309" s="6"/>
      <c r="I309" s="10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6">
      <c r="A310" s="10"/>
      <c r="B310" s="6"/>
      <c r="C310" s="6"/>
      <c r="D310" s="6"/>
      <c r="E310" s="10"/>
      <c r="F310" s="6"/>
      <c r="G310" s="6"/>
      <c r="H310" s="6"/>
      <c r="I310" s="10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6">
      <c r="A311" s="10"/>
      <c r="B311" s="6"/>
      <c r="C311" s="6"/>
      <c r="D311" s="6"/>
      <c r="E311" s="10"/>
      <c r="F311" s="6"/>
      <c r="G311" s="6"/>
      <c r="H311" s="6"/>
      <c r="I311" s="10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6">
      <c r="A312" s="10"/>
      <c r="B312" s="6"/>
      <c r="C312" s="6"/>
      <c r="D312" s="6"/>
      <c r="E312" s="10"/>
      <c r="F312" s="6"/>
      <c r="G312" s="6"/>
      <c r="H312" s="6"/>
      <c r="I312" s="10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6">
      <c r="A313" s="10"/>
      <c r="B313" s="6"/>
      <c r="C313" s="6"/>
      <c r="D313" s="6"/>
      <c r="E313" s="10"/>
      <c r="F313" s="6"/>
      <c r="G313" s="6"/>
      <c r="H313" s="6"/>
      <c r="I313" s="10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6">
      <c r="A314" s="10"/>
      <c r="B314" s="6"/>
      <c r="C314" s="6"/>
      <c r="D314" s="6"/>
      <c r="E314" s="10"/>
      <c r="F314" s="6"/>
      <c r="G314" s="6"/>
      <c r="H314" s="6"/>
      <c r="I314" s="10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6">
      <c r="A315" s="10"/>
      <c r="B315" s="6"/>
      <c r="C315" s="6"/>
      <c r="D315" s="6"/>
      <c r="E315" s="10"/>
      <c r="F315" s="6"/>
      <c r="G315" s="6"/>
      <c r="H315" s="6"/>
      <c r="I315" s="10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6">
      <c r="A316" s="10"/>
      <c r="B316" s="6"/>
      <c r="C316" s="6"/>
      <c r="D316" s="6"/>
      <c r="E316" s="10"/>
      <c r="F316" s="6"/>
      <c r="G316" s="6"/>
      <c r="H316" s="6"/>
      <c r="I316" s="10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6">
      <c r="A317" s="10"/>
      <c r="B317" s="6"/>
      <c r="C317" s="6"/>
      <c r="D317" s="6"/>
      <c r="E317" s="10"/>
      <c r="F317" s="6"/>
      <c r="G317" s="6"/>
      <c r="H317" s="6"/>
      <c r="I317" s="10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6">
      <c r="A318" s="10"/>
      <c r="B318" s="6"/>
      <c r="C318" s="6"/>
      <c r="D318" s="6"/>
      <c r="E318" s="10"/>
      <c r="F318" s="6"/>
      <c r="G318" s="6"/>
      <c r="H318" s="6"/>
      <c r="I318" s="10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6">
      <c r="A319" s="10"/>
      <c r="B319" s="6"/>
      <c r="C319" s="6"/>
      <c r="D319" s="6"/>
      <c r="E319" s="10"/>
      <c r="F319" s="6"/>
      <c r="G319" s="6"/>
      <c r="H319" s="6"/>
      <c r="I319" s="10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6">
      <c r="A320" s="10"/>
      <c r="B320" s="6"/>
      <c r="C320" s="6"/>
      <c r="D320" s="6"/>
      <c r="E320" s="10"/>
      <c r="F320" s="6"/>
      <c r="G320" s="6"/>
      <c r="H320" s="6"/>
      <c r="I320" s="10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6">
      <c r="A321" s="10"/>
      <c r="B321" s="6"/>
      <c r="C321" s="6"/>
      <c r="D321" s="6"/>
      <c r="E321" s="10"/>
      <c r="F321" s="6"/>
      <c r="G321" s="6"/>
      <c r="H321" s="6"/>
      <c r="I321" s="10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6">
      <c r="A322" s="10"/>
      <c r="B322" s="6"/>
      <c r="C322" s="6"/>
      <c r="D322" s="6"/>
      <c r="E322" s="10"/>
      <c r="F322" s="6"/>
      <c r="G322" s="6"/>
      <c r="H322" s="6"/>
      <c r="I322" s="10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6">
      <c r="A323" s="10"/>
      <c r="B323" s="6"/>
      <c r="C323" s="6"/>
      <c r="D323" s="6"/>
      <c r="E323" s="10"/>
      <c r="F323" s="6"/>
      <c r="G323" s="6"/>
      <c r="H323" s="6"/>
      <c r="I323" s="10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6">
      <c r="A324" s="10"/>
      <c r="B324" s="6"/>
      <c r="C324" s="6"/>
      <c r="D324" s="6"/>
      <c r="E324" s="10"/>
      <c r="F324" s="6"/>
      <c r="G324" s="6"/>
      <c r="H324" s="6"/>
      <c r="I324" s="10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6">
      <c r="A325" s="10"/>
      <c r="B325" s="6"/>
      <c r="C325" s="6"/>
      <c r="D325" s="6"/>
      <c r="E325" s="10"/>
      <c r="F325" s="6"/>
      <c r="G325" s="6"/>
      <c r="H325" s="6"/>
      <c r="I325" s="10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6">
      <c r="A326" s="10"/>
      <c r="B326" s="6"/>
      <c r="C326" s="6"/>
      <c r="D326" s="6"/>
      <c r="E326" s="10"/>
      <c r="F326" s="6"/>
      <c r="G326" s="6"/>
      <c r="H326" s="6"/>
      <c r="I326" s="10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6">
      <c r="A327" s="10"/>
      <c r="B327" s="6"/>
      <c r="C327" s="6"/>
      <c r="D327" s="6"/>
      <c r="E327" s="10"/>
      <c r="F327" s="6"/>
      <c r="G327" s="6"/>
      <c r="H327" s="6"/>
      <c r="I327" s="10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6">
      <c r="A328" s="10"/>
      <c r="B328" s="6"/>
      <c r="C328" s="6"/>
      <c r="D328" s="6"/>
      <c r="E328" s="10"/>
      <c r="F328" s="6"/>
      <c r="G328" s="6"/>
      <c r="H328" s="6"/>
      <c r="I328" s="10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6">
      <c r="A329" s="10"/>
      <c r="B329" s="6"/>
      <c r="C329" s="6"/>
      <c r="D329" s="6"/>
      <c r="E329" s="10"/>
      <c r="F329" s="6"/>
      <c r="G329" s="6"/>
      <c r="H329" s="6"/>
      <c r="I329" s="10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6">
      <c r="A330" s="10"/>
      <c r="B330" s="6"/>
      <c r="C330" s="6"/>
      <c r="D330" s="6"/>
      <c r="E330" s="10"/>
      <c r="F330" s="6"/>
      <c r="G330" s="6"/>
      <c r="H330" s="6"/>
      <c r="I330" s="10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6">
      <c r="A331" s="10"/>
      <c r="B331" s="6"/>
      <c r="C331" s="6"/>
      <c r="D331" s="6"/>
      <c r="E331" s="10"/>
      <c r="F331" s="6"/>
      <c r="G331" s="6"/>
      <c r="H331" s="6"/>
      <c r="I331" s="10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6">
      <c r="A332" s="10"/>
      <c r="B332" s="6"/>
      <c r="C332" s="6"/>
      <c r="D332" s="6"/>
      <c r="E332" s="10"/>
      <c r="F332" s="6"/>
      <c r="G332" s="6"/>
      <c r="H332" s="6"/>
      <c r="I332" s="10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6">
      <c r="A333" s="10"/>
      <c r="B333" s="6"/>
      <c r="C333" s="6"/>
      <c r="D333" s="6"/>
      <c r="E333" s="10"/>
      <c r="F333" s="6"/>
      <c r="G333" s="6"/>
      <c r="H333" s="6"/>
      <c r="I333" s="10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6">
      <c r="A334" s="10"/>
      <c r="B334" s="6"/>
      <c r="C334" s="6"/>
      <c r="D334" s="6"/>
      <c r="E334" s="10"/>
      <c r="F334" s="6"/>
      <c r="G334" s="6"/>
      <c r="H334" s="6"/>
      <c r="I334" s="10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6">
      <c r="A335" s="10"/>
      <c r="B335" s="6"/>
      <c r="C335" s="6"/>
      <c r="D335" s="6"/>
      <c r="E335" s="10"/>
      <c r="F335" s="6"/>
      <c r="G335" s="6"/>
      <c r="H335" s="6"/>
      <c r="I335" s="10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6">
      <c r="A336" s="10"/>
      <c r="B336" s="6"/>
      <c r="C336" s="6"/>
      <c r="D336" s="6"/>
      <c r="E336" s="10"/>
      <c r="F336" s="6"/>
      <c r="G336" s="6"/>
      <c r="H336" s="6"/>
      <c r="I336" s="10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6">
      <c r="A337" s="10"/>
      <c r="B337" s="6"/>
      <c r="C337" s="6"/>
      <c r="D337" s="6"/>
      <c r="E337" s="10"/>
      <c r="F337" s="6"/>
      <c r="G337" s="6"/>
      <c r="H337" s="6"/>
      <c r="I337" s="10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6">
      <c r="A338" s="10"/>
      <c r="B338" s="6"/>
      <c r="C338" s="6"/>
      <c r="D338" s="6"/>
      <c r="E338" s="10"/>
      <c r="F338" s="6"/>
      <c r="G338" s="6"/>
      <c r="H338" s="6"/>
      <c r="I338" s="10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6">
      <c r="A339" s="10"/>
      <c r="B339" s="6"/>
      <c r="C339" s="6"/>
      <c r="D339" s="6"/>
      <c r="E339" s="10"/>
      <c r="F339" s="6"/>
      <c r="G339" s="6"/>
      <c r="H339" s="6"/>
      <c r="I339" s="10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6">
      <c r="A340" s="10"/>
      <c r="B340" s="6"/>
      <c r="C340" s="6"/>
      <c r="D340" s="6"/>
      <c r="E340" s="10"/>
      <c r="F340" s="6"/>
      <c r="G340" s="6"/>
      <c r="H340" s="6"/>
      <c r="I340" s="10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6">
      <c r="A341" s="10"/>
      <c r="B341" s="6"/>
      <c r="C341" s="6"/>
      <c r="D341" s="6"/>
      <c r="E341" s="10"/>
      <c r="F341" s="6"/>
      <c r="G341" s="6"/>
      <c r="H341" s="6"/>
      <c r="I341" s="10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6">
      <c r="A342" s="10"/>
      <c r="B342" s="6"/>
      <c r="C342" s="6"/>
      <c r="D342" s="6"/>
      <c r="E342" s="10"/>
      <c r="F342" s="6"/>
      <c r="G342" s="6"/>
      <c r="H342" s="6"/>
      <c r="I342" s="10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6">
      <c r="A343" s="10"/>
      <c r="B343" s="6"/>
      <c r="C343" s="6"/>
      <c r="D343" s="6"/>
      <c r="E343" s="10"/>
      <c r="F343" s="6"/>
      <c r="G343" s="6"/>
      <c r="H343" s="6"/>
      <c r="I343" s="10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6">
      <c r="A344" s="10"/>
      <c r="B344" s="6"/>
      <c r="C344" s="6"/>
      <c r="D344" s="6"/>
      <c r="E344" s="10"/>
      <c r="F344" s="6"/>
      <c r="G344" s="6"/>
      <c r="H344" s="6"/>
      <c r="I344" s="10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6">
      <c r="A345" s="10"/>
      <c r="B345" s="6"/>
      <c r="C345" s="6"/>
      <c r="D345" s="6"/>
      <c r="E345" s="10"/>
      <c r="F345" s="6"/>
      <c r="G345" s="6"/>
      <c r="H345" s="6"/>
      <c r="I345" s="10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6">
      <c r="A346" s="10"/>
      <c r="B346" s="6"/>
      <c r="C346" s="6"/>
      <c r="D346" s="6"/>
      <c r="E346" s="10"/>
      <c r="F346" s="6"/>
      <c r="G346" s="6"/>
      <c r="H346" s="6"/>
      <c r="I346" s="10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6">
      <c r="A347" s="10"/>
      <c r="B347" s="6"/>
      <c r="C347" s="6"/>
      <c r="D347" s="6"/>
      <c r="E347" s="10"/>
      <c r="F347" s="6"/>
      <c r="G347" s="6"/>
      <c r="H347" s="6"/>
      <c r="I347" s="10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6">
      <c r="A348" s="10"/>
      <c r="B348" s="6"/>
      <c r="C348" s="6"/>
      <c r="D348" s="6"/>
      <c r="E348" s="10"/>
      <c r="F348" s="6"/>
      <c r="G348" s="6"/>
      <c r="H348" s="6"/>
      <c r="I348" s="10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6">
      <c r="A349" s="10"/>
      <c r="B349" s="6"/>
      <c r="C349" s="6"/>
      <c r="D349" s="6"/>
      <c r="E349" s="10"/>
      <c r="F349" s="6"/>
      <c r="G349" s="6"/>
      <c r="H349" s="6"/>
      <c r="I349" s="10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6">
      <c r="A350" s="10"/>
      <c r="B350" s="6"/>
      <c r="C350" s="6"/>
      <c r="D350" s="6"/>
      <c r="E350" s="10"/>
      <c r="F350" s="6"/>
      <c r="G350" s="6"/>
      <c r="H350" s="6"/>
      <c r="I350" s="10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6">
      <c r="A351" s="10"/>
      <c r="B351" s="6"/>
      <c r="C351" s="6"/>
      <c r="D351" s="6"/>
      <c r="E351" s="10"/>
      <c r="F351" s="6"/>
      <c r="G351" s="6"/>
      <c r="H351" s="6"/>
      <c r="I351" s="10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6">
      <c r="A352" s="10"/>
      <c r="B352" s="6"/>
      <c r="C352" s="6"/>
      <c r="D352" s="6"/>
      <c r="E352" s="10"/>
      <c r="F352" s="6"/>
      <c r="G352" s="6"/>
      <c r="H352" s="6"/>
      <c r="I352" s="10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6">
      <c r="A353" s="10"/>
      <c r="B353" s="6"/>
      <c r="C353" s="6"/>
      <c r="D353" s="6"/>
      <c r="E353" s="10"/>
      <c r="F353" s="6"/>
      <c r="G353" s="6"/>
      <c r="H353" s="6"/>
      <c r="I353" s="10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6">
      <c r="A354" s="10"/>
      <c r="B354" s="6"/>
      <c r="C354" s="6"/>
      <c r="D354" s="6"/>
      <c r="E354" s="10"/>
      <c r="F354" s="6"/>
      <c r="G354" s="6"/>
      <c r="H354" s="6"/>
      <c r="I354" s="10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6">
      <c r="A355" s="10"/>
      <c r="B355" s="6"/>
      <c r="C355" s="6"/>
      <c r="D355" s="6"/>
      <c r="E355" s="10"/>
      <c r="F355" s="6"/>
      <c r="G355" s="6"/>
      <c r="H355" s="6"/>
      <c r="I355" s="10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6">
      <c r="A356" s="10"/>
      <c r="B356" s="6"/>
      <c r="C356" s="6"/>
      <c r="D356" s="6"/>
      <c r="E356" s="10"/>
      <c r="F356" s="6"/>
      <c r="G356" s="6"/>
      <c r="H356" s="6"/>
      <c r="I356" s="10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6">
      <c r="A357" s="10"/>
      <c r="B357" s="6"/>
      <c r="C357" s="6"/>
      <c r="D357" s="6"/>
      <c r="E357" s="10"/>
      <c r="F357" s="6"/>
      <c r="G357" s="6"/>
      <c r="H357" s="6"/>
      <c r="I357" s="10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6">
      <c r="A358" s="10"/>
      <c r="B358" s="6"/>
      <c r="C358" s="6"/>
      <c r="D358" s="6"/>
      <c r="E358" s="10"/>
      <c r="F358" s="6"/>
      <c r="G358" s="6"/>
      <c r="H358" s="6"/>
      <c r="I358" s="10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6">
      <c r="A359" s="10"/>
      <c r="B359" s="6"/>
      <c r="C359" s="6"/>
      <c r="D359" s="6"/>
      <c r="E359" s="10"/>
      <c r="F359" s="6"/>
      <c r="G359" s="6"/>
      <c r="H359" s="6"/>
      <c r="I359" s="10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6">
      <c r="A360" s="10"/>
      <c r="B360" s="6"/>
      <c r="C360" s="6"/>
      <c r="D360" s="6"/>
      <c r="E360" s="10"/>
      <c r="F360" s="6"/>
      <c r="G360" s="6"/>
      <c r="H360" s="6"/>
      <c r="I360" s="10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6">
      <c r="A361" s="10"/>
      <c r="B361" s="6"/>
      <c r="C361" s="6"/>
      <c r="D361" s="6"/>
      <c r="E361" s="10"/>
      <c r="F361" s="6"/>
      <c r="G361" s="6"/>
      <c r="H361" s="6"/>
      <c r="I361" s="10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6">
      <c r="A362" s="10"/>
      <c r="B362" s="6"/>
      <c r="C362" s="6"/>
      <c r="D362" s="6"/>
      <c r="E362" s="10"/>
      <c r="F362" s="6"/>
      <c r="G362" s="6"/>
      <c r="H362" s="6"/>
      <c r="I362" s="10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6">
      <c r="A363" s="10"/>
      <c r="B363" s="6"/>
      <c r="C363" s="6"/>
      <c r="D363" s="6"/>
      <c r="E363" s="10"/>
      <c r="F363" s="6"/>
      <c r="G363" s="6"/>
      <c r="H363" s="6"/>
      <c r="I363" s="10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6">
      <c r="A364" s="10"/>
      <c r="B364" s="6"/>
      <c r="C364" s="6"/>
      <c r="D364" s="6"/>
      <c r="E364" s="10"/>
      <c r="F364" s="6"/>
      <c r="G364" s="6"/>
      <c r="H364" s="6"/>
      <c r="I364" s="10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6">
      <c r="A365" s="10"/>
      <c r="B365" s="6"/>
      <c r="C365" s="6"/>
      <c r="D365" s="6"/>
      <c r="E365" s="10"/>
      <c r="F365" s="6"/>
      <c r="G365" s="6"/>
      <c r="H365" s="6"/>
      <c r="I365" s="10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6">
      <c r="A366" s="10"/>
      <c r="B366" s="6"/>
      <c r="C366" s="6"/>
      <c r="D366" s="6"/>
      <c r="E366" s="10"/>
      <c r="F366" s="6"/>
      <c r="G366" s="6"/>
      <c r="H366" s="6"/>
      <c r="I366" s="10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6">
      <c r="A367" s="10"/>
      <c r="B367" s="6"/>
      <c r="C367" s="6"/>
      <c r="D367" s="6"/>
      <c r="E367" s="10"/>
      <c r="F367" s="6"/>
      <c r="G367" s="6"/>
      <c r="H367" s="6"/>
      <c r="I367" s="10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6">
      <c r="A368" s="10"/>
      <c r="B368" s="6"/>
      <c r="C368" s="6"/>
      <c r="D368" s="6"/>
      <c r="E368" s="10"/>
      <c r="F368" s="6"/>
      <c r="G368" s="6"/>
      <c r="H368" s="6"/>
      <c r="I368" s="10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6">
      <c r="A369" s="10"/>
      <c r="B369" s="6"/>
      <c r="C369" s="6"/>
      <c r="D369" s="6"/>
      <c r="E369" s="10"/>
      <c r="F369" s="6"/>
      <c r="G369" s="6"/>
      <c r="H369" s="6"/>
      <c r="I369" s="10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6">
      <c r="A370" s="10"/>
      <c r="B370" s="6"/>
      <c r="C370" s="6"/>
      <c r="D370" s="6"/>
      <c r="E370" s="10"/>
      <c r="F370" s="6"/>
      <c r="G370" s="6"/>
      <c r="H370" s="6"/>
      <c r="I370" s="10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6">
      <c r="A371" s="10"/>
      <c r="B371" s="6"/>
      <c r="C371" s="6"/>
      <c r="D371" s="6"/>
      <c r="E371" s="10"/>
      <c r="F371" s="6"/>
      <c r="G371" s="6"/>
      <c r="H371" s="6"/>
      <c r="I371" s="10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6">
      <c r="A372" s="10"/>
      <c r="B372" s="6"/>
      <c r="C372" s="6"/>
      <c r="D372" s="6"/>
      <c r="E372" s="10"/>
      <c r="F372" s="6"/>
      <c r="G372" s="6"/>
      <c r="H372" s="6"/>
      <c r="I372" s="10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6">
      <c r="A373" s="10"/>
      <c r="B373" s="6"/>
      <c r="C373" s="6"/>
      <c r="D373" s="6"/>
      <c r="E373" s="10"/>
      <c r="F373" s="6"/>
      <c r="G373" s="6"/>
      <c r="H373" s="6"/>
      <c r="I373" s="10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6">
      <c r="A374" s="10"/>
      <c r="B374" s="6"/>
      <c r="C374" s="6"/>
      <c r="D374" s="6"/>
      <c r="E374" s="10"/>
      <c r="F374" s="6"/>
      <c r="G374" s="6"/>
      <c r="H374" s="6"/>
      <c r="I374" s="10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6">
      <c r="A375" s="10"/>
      <c r="B375" s="6"/>
      <c r="C375" s="6"/>
      <c r="D375" s="6"/>
      <c r="E375" s="10"/>
      <c r="F375" s="6"/>
      <c r="G375" s="6"/>
      <c r="H375" s="6"/>
      <c r="I375" s="10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6">
      <c r="A376" s="10"/>
      <c r="B376" s="6"/>
      <c r="C376" s="6"/>
      <c r="D376" s="6"/>
      <c r="E376" s="10"/>
      <c r="F376" s="6"/>
      <c r="G376" s="6"/>
      <c r="H376" s="6"/>
      <c r="I376" s="10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6">
      <c r="A377" s="10"/>
      <c r="B377" s="6"/>
      <c r="C377" s="6"/>
      <c r="D377" s="6"/>
      <c r="E377" s="10"/>
      <c r="F377" s="6"/>
      <c r="G377" s="6"/>
      <c r="H377" s="6"/>
      <c r="I377" s="10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6">
      <c r="A378" s="10"/>
      <c r="B378" s="6"/>
      <c r="C378" s="6"/>
      <c r="D378" s="6"/>
      <c r="E378" s="10"/>
      <c r="F378" s="6"/>
      <c r="G378" s="6"/>
      <c r="H378" s="6"/>
      <c r="I378" s="10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6">
      <c r="A379" s="10"/>
      <c r="B379" s="6"/>
      <c r="C379" s="6"/>
      <c r="D379" s="6"/>
      <c r="E379" s="10"/>
      <c r="F379" s="6"/>
      <c r="G379" s="6"/>
      <c r="H379" s="6"/>
      <c r="I379" s="10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6">
      <c r="A380" s="10"/>
      <c r="B380" s="6"/>
      <c r="C380" s="6"/>
      <c r="D380" s="6"/>
      <c r="E380" s="10"/>
      <c r="F380" s="6"/>
      <c r="G380" s="6"/>
      <c r="H380" s="6"/>
      <c r="I380" s="10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6">
      <c r="A381" s="10"/>
      <c r="B381" s="6"/>
      <c r="C381" s="6"/>
      <c r="D381" s="6"/>
      <c r="E381" s="10"/>
      <c r="F381" s="6"/>
      <c r="G381" s="6"/>
      <c r="H381" s="6"/>
      <c r="I381" s="10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6">
      <c r="A382" s="10"/>
      <c r="B382" s="6"/>
      <c r="C382" s="6"/>
      <c r="D382" s="6"/>
      <c r="E382" s="10"/>
      <c r="F382" s="6"/>
      <c r="G382" s="6"/>
      <c r="H382" s="6"/>
      <c r="I382" s="10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6">
      <c r="A383" s="10"/>
      <c r="B383" s="6"/>
      <c r="C383" s="6"/>
      <c r="D383" s="6"/>
      <c r="E383" s="10"/>
      <c r="F383" s="6"/>
      <c r="G383" s="6"/>
      <c r="H383" s="6"/>
      <c r="I383" s="10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6">
      <c r="A384" s="10"/>
      <c r="B384" s="6"/>
      <c r="C384" s="6"/>
      <c r="D384" s="6"/>
      <c r="E384" s="10"/>
      <c r="F384" s="6"/>
      <c r="G384" s="6"/>
      <c r="H384" s="6"/>
      <c r="I384" s="10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6">
      <c r="A385" s="10"/>
      <c r="B385" s="6"/>
      <c r="C385" s="6"/>
      <c r="D385" s="6"/>
      <c r="E385" s="10"/>
      <c r="F385" s="6"/>
      <c r="G385" s="6"/>
      <c r="H385" s="6"/>
      <c r="I385" s="10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6">
      <c r="A386" s="10"/>
      <c r="B386" s="6"/>
      <c r="C386" s="6"/>
      <c r="D386" s="6"/>
      <c r="E386" s="10"/>
      <c r="F386" s="6"/>
      <c r="G386" s="6"/>
      <c r="H386" s="6"/>
      <c r="I386" s="10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6">
      <c r="A387" s="10"/>
      <c r="B387" s="6"/>
      <c r="C387" s="6"/>
      <c r="D387" s="6"/>
      <c r="E387" s="10"/>
      <c r="F387" s="6"/>
      <c r="G387" s="6"/>
      <c r="H387" s="6"/>
      <c r="I387" s="10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6">
      <c r="A388" s="10"/>
      <c r="B388" s="6"/>
      <c r="C388" s="6"/>
      <c r="D388" s="6"/>
      <c r="E388" s="10"/>
      <c r="F388" s="6"/>
      <c r="G388" s="6"/>
      <c r="H388" s="6"/>
      <c r="I388" s="10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6">
      <c r="A389" s="10"/>
      <c r="B389" s="6"/>
      <c r="C389" s="6"/>
      <c r="D389" s="6"/>
      <c r="E389" s="10"/>
      <c r="F389" s="6"/>
      <c r="G389" s="6"/>
      <c r="H389" s="6"/>
      <c r="I389" s="10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6">
      <c r="A390" s="10"/>
      <c r="B390" s="6"/>
      <c r="C390" s="6"/>
      <c r="D390" s="6"/>
      <c r="E390" s="10"/>
      <c r="F390" s="6"/>
      <c r="G390" s="6"/>
      <c r="H390" s="6"/>
      <c r="I390" s="10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6">
      <c r="A391" s="10"/>
      <c r="B391" s="6"/>
      <c r="C391" s="6"/>
      <c r="D391" s="6"/>
      <c r="E391" s="10"/>
      <c r="F391" s="6"/>
      <c r="G391" s="6"/>
      <c r="H391" s="6"/>
      <c r="I391" s="10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6">
      <c r="A392" s="10"/>
      <c r="B392" s="6"/>
      <c r="C392" s="6"/>
      <c r="D392" s="6"/>
      <c r="E392" s="10"/>
      <c r="F392" s="6"/>
      <c r="G392" s="6"/>
      <c r="H392" s="6"/>
      <c r="I392" s="10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6">
      <c r="A393" s="10"/>
      <c r="B393" s="6"/>
      <c r="C393" s="6"/>
      <c r="D393" s="6"/>
      <c r="E393" s="10"/>
      <c r="F393" s="6"/>
      <c r="G393" s="6"/>
      <c r="H393" s="6"/>
      <c r="I393" s="10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6">
      <c r="A394" s="10"/>
      <c r="B394" s="6"/>
      <c r="C394" s="6"/>
      <c r="D394" s="6"/>
      <c r="E394" s="10"/>
      <c r="F394" s="6"/>
      <c r="G394" s="6"/>
      <c r="H394" s="6"/>
      <c r="I394" s="10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6">
      <c r="A395" s="10"/>
      <c r="B395" s="6"/>
      <c r="C395" s="6"/>
      <c r="D395" s="6"/>
      <c r="E395" s="10"/>
      <c r="F395" s="6"/>
      <c r="G395" s="6"/>
      <c r="H395" s="6"/>
      <c r="I395" s="10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6">
      <c r="A396" s="10"/>
      <c r="B396" s="6"/>
      <c r="C396" s="6"/>
      <c r="D396" s="6"/>
      <c r="E396" s="10"/>
      <c r="F396" s="6"/>
      <c r="G396" s="6"/>
      <c r="H396" s="6"/>
      <c r="I396" s="10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6">
      <c r="A397" s="10"/>
      <c r="B397" s="6"/>
      <c r="C397" s="6"/>
      <c r="D397" s="6"/>
      <c r="E397" s="10"/>
      <c r="F397" s="6"/>
      <c r="G397" s="6"/>
      <c r="H397" s="6"/>
      <c r="I397" s="10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6">
      <c r="A398" s="10"/>
      <c r="B398" s="6"/>
      <c r="C398" s="6"/>
      <c r="D398" s="6"/>
      <c r="E398" s="10"/>
      <c r="F398" s="6"/>
      <c r="G398" s="6"/>
      <c r="H398" s="6"/>
      <c r="I398" s="10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6">
      <c r="A399" s="10"/>
      <c r="B399" s="6"/>
      <c r="C399" s="6"/>
      <c r="D399" s="6"/>
      <c r="E399" s="10"/>
      <c r="F399" s="6"/>
      <c r="G399" s="6"/>
      <c r="H399" s="6"/>
      <c r="I399" s="10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6">
      <c r="A400" s="10"/>
      <c r="B400" s="6"/>
      <c r="C400" s="6"/>
      <c r="D400" s="6"/>
      <c r="E400" s="10"/>
      <c r="F400" s="6"/>
      <c r="G400" s="6"/>
      <c r="H400" s="6"/>
      <c r="I400" s="10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6">
      <c r="A401" s="10"/>
      <c r="B401" s="6"/>
      <c r="C401" s="6"/>
      <c r="D401" s="6"/>
      <c r="E401" s="10"/>
      <c r="F401" s="6"/>
      <c r="G401" s="6"/>
      <c r="H401" s="6"/>
      <c r="I401" s="10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6">
      <c r="A402" s="10"/>
      <c r="B402" s="6"/>
      <c r="C402" s="6"/>
      <c r="D402" s="6"/>
      <c r="E402" s="10"/>
      <c r="F402" s="6"/>
      <c r="G402" s="6"/>
      <c r="H402" s="6"/>
      <c r="I402" s="10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</row>
    <row r="403" spans="1:27" ht="16">
      <c r="A403" s="10"/>
      <c r="B403" s="6"/>
      <c r="C403" s="6"/>
      <c r="D403" s="6"/>
      <c r="E403" s="10"/>
      <c r="F403" s="6"/>
      <c r="G403" s="6"/>
      <c r="H403" s="6"/>
      <c r="I403" s="10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</row>
    <row r="404" spans="1:27" ht="16">
      <c r="A404" s="10"/>
      <c r="B404" s="6"/>
      <c r="C404" s="6"/>
      <c r="D404" s="6"/>
      <c r="E404" s="10"/>
      <c r="F404" s="6"/>
      <c r="G404" s="6"/>
      <c r="H404" s="6"/>
      <c r="I404" s="10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</row>
    <row r="405" spans="1:27" ht="16">
      <c r="A405" s="10"/>
      <c r="B405" s="6"/>
      <c r="C405" s="6"/>
      <c r="D405" s="6"/>
      <c r="E405" s="10"/>
      <c r="F405" s="6"/>
      <c r="G405" s="6"/>
      <c r="H405" s="6"/>
      <c r="I405" s="10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</row>
    <row r="406" spans="1:27" ht="16">
      <c r="A406" s="10"/>
      <c r="B406" s="6"/>
      <c r="C406" s="6"/>
      <c r="D406" s="6"/>
      <c r="E406" s="10"/>
      <c r="F406" s="6"/>
      <c r="G406" s="6"/>
      <c r="H406" s="6"/>
      <c r="I406" s="10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</row>
    <row r="407" spans="1:27" ht="16">
      <c r="A407" s="10"/>
      <c r="B407" s="6"/>
      <c r="C407" s="6"/>
      <c r="D407" s="6"/>
      <c r="E407" s="10"/>
      <c r="F407" s="6"/>
      <c r="G407" s="6"/>
      <c r="H407" s="6"/>
      <c r="I407" s="10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</row>
    <row r="408" spans="1:27" ht="16">
      <c r="A408" s="10"/>
      <c r="B408" s="6"/>
      <c r="C408" s="6"/>
      <c r="D408" s="6"/>
      <c r="E408" s="10"/>
      <c r="F408" s="6"/>
      <c r="G408" s="6"/>
      <c r="H408" s="6"/>
      <c r="I408" s="10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</row>
    <row r="409" spans="1:27" ht="16">
      <c r="A409" s="10"/>
      <c r="B409" s="6"/>
      <c r="C409" s="6"/>
      <c r="D409" s="6"/>
      <c r="E409" s="10"/>
      <c r="F409" s="6"/>
      <c r="G409" s="6"/>
      <c r="H409" s="6"/>
      <c r="I409" s="10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</row>
    <row r="410" spans="1:27" ht="16">
      <c r="A410" s="10"/>
      <c r="B410" s="6"/>
      <c r="C410" s="6"/>
      <c r="D410" s="6"/>
      <c r="E410" s="10"/>
      <c r="F410" s="6"/>
      <c r="G410" s="6"/>
      <c r="H410" s="6"/>
      <c r="I410" s="10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</row>
    <row r="411" spans="1:27" ht="16">
      <c r="A411" s="10"/>
      <c r="B411" s="6"/>
      <c r="C411" s="6"/>
      <c r="D411" s="6"/>
      <c r="E411" s="10"/>
      <c r="F411" s="6"/>
      <c r="G411" s="6"/>
      <c r="H411" s="6"/>
      <c r="I411" s="10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</row>
    <row r="412" spans="1:27" ht="16">
      <c r="A412" s="10"/>
      <c r="B412" s="6"/>
      <c r="C412" s="6"/>
      <c r="D412" s="6"/>
      <c r="E412" s="10"/>
      <c r="F412" s="6"/>
      <c r="G412" s="6"/>
      <c r="H412" s="6"/>
      <c r="I412" s="10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</row>
    <row r="413" spans="1:27" ht="16">
      <c r="A413" s="10"/>
      <c r="B413" s="6"/>
      <c r="C413" s="6"/>
      <c r="D413" s="6"/>
      <c r="E413" s="10"/>
      <c r="F413" s="6"/>
      <c r="G413" s="6"/>
      <c r="H413" s="6"/>
      <c r="I413" s="10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</row>
    <row r="414" spans="1:27" ht="16">
      <c r="A414" s="10"/>
      <c r="B414" s="6"/>
      <c r="C414" s="6"/>
      <c r="D414" s="6"/>
      <c r="E414" s="10"/>
      <c r="F414" s="6"/>
      <c r="G414" s="6"/>
      <c r="H414" s="6"/>
      <c r="I414" s="10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</row>
    <row r="415" spans="1:27" ht="16">
      <c r="A415" s="10"/>
      <c r="B415" s="6"/>
      <c r="C415" s="6"/>
      <c r="D415" s="6"/>
      <c r="E415" s="10"/>
      <c r="F415" s="6"/>
      <c r="G415" s="6"/>
      <c r="H415" s="6"/>
      <c r="I415" s="10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</row>
    <row r="416" spans="1:27" ht="16">
      <c r="A416" s="10"/>
      <c r="B416" s="6"/>
      <c r="C416" s="6"/>
      <c r="D416" s="6"/>
      <c r="E416" s="10"/>
      <c r="F416" s="6"/>
      <c r="G416" s="6"/>
      <c r="H416" s="6"/>
      <c r="I416" s="10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</row>
    <row r="417" spans="1:27" ht="16">
      <c r="A417" s="10"/>
      <c r="B417" s="6"/>
      <c r="C417" s="6"/>
      <c r="D417" s="6"/>
      <c r="E417" s="10"/>
      <c r="F417" s="6"/>
      <c r="G417" s="6"/>
      <c r="H417" s="6"/>
      <c r="I417" s="10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</row>
    <row r="418" spans="1:27" ht="16">
      <c r="A418" s="10"/>
      <c r="B418" s="6"/>
      <c r="C418" s="6"/>
      <c r="D418" s="6"/>
      <c r="E418" s="10"/>
      <c r="F418" s="6"/>
      <c r="G418" s="6"/>
      <c r="H418" s="6"/>
      <c r="I418" s="10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</row>
    <row r="419" spans="1:27" ht="16">
      <c r="A419" s="10"/>
      <c r="B419" s="6"/>
      <c r="C419" s="6"/>
      <c r="D419" s="6"/>
      <c r="E419" s="10"/>
      <c r="F419" s="6"/>
      <c r="G419" s="6"/>
      <c r="H419" s="6"/>
      <c r="I419" s="10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</row>
    <row r="420" spans="1:27" ht="16">
      <c r="A420" s="10"/>
      <c r="B420" s="6"/>
      <c r="C420" s="6"/>
      <c r="D420" s="6"/>
      <c r="E420" s="10"/>
      <c r="F420" s="6"/>
      <c r="G420" s="6"/>
      <c r="H420" s="6"/>
      <c r="I420" s="10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</row>
    <row r="421" spans="1:27" ht="16">
      <c r="A421" s="10"/>
      <c r="B421" s="6"/>
      <c r="C421" s="6"/>
      <c r="D421" s="6"/>
      <c r="E421" s="10"/>
      <c r="F421" s="6"/>
      <c r="G421" s="6"/>
      <c r="H421" s="6"/>
      <c r="I421" s="10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</row>
    <row r="422" spans="1:27" ht="16">
      <c r="A422" s="10"/>
      <c r="B422" s="6"/>
      <c r="C422" s="6"/>
      <c r="D422" s="6"/>
      <c r="E422" s="10"/>
      <c r="F422" s="6"/>
      <c r="G422" s="6"/>
      <c r="H422" s="6"/>
      <c r="I422" s="10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6">
      <c r="A423" s="10"/>
      <c r="B423" s="6"/>
      <c r="C423" s="6"/>
      <c r="D423" s="6"/>
      <c r="E423" s="10"/>
      <c r="F423" s="6"/>
      <c r="G423" s="6"/>
      <c r="H423" s="6"/>
      <c r="I423" s="10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6">
      <c r="A424" s="10"/>
      <c r="B424" s="6"/>
      <c r="C424" s="6"/>
      <c r="D424" s="6"/>
      <c r="E424" s="10"/>
      <c r="F424" s="6"/>
      <c r="G424" s="6"/>
      <c r="H424" s="6"/>
      <c r="I424" s="10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6">
      <c r="A425" s="10"/>
      <c r="B425" s="6"/>
      <c r="C425" s="6"/>
      <c r="D425" s="6"/>
      <c r="E425" s="10"/>
      <c r="F425" s="6"/>
      <c r="G425" s="6"/>
      <c r="H425" s="6"/>
      <c r="I425" s="10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6">
      <c r="A426" s="10"/>
      <c r="B426" s="6"/>
      <c r="C426" s="6"/>
      <c r="D426" s="6"/>
      <c r="E426" s="10"/>
      <c r="F426" s="6"/>
      <c r="G426" s="6"/>
      <c r="H426" s="6"/>
      <c r="I426" s="10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6">
      <c r="A427" s="10"/>
      <c r="B427" s="6"/>
      <c r="C427" s="6"/>
      <c r="D427" s="6"/>
      <c r="E427" s="10"/>
      <c r="F427" s="6"/>
      <c r="G427" s="6"/>
      <c r="H427" s="6"/>
      <c r="I427" s="10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6">
      <c r="A428" s="10"/>
      <c r="B428" s="6"/>
      <c r="C428" s="6"/>
      <c r="D428" s="6"/>
      <c r="E428" s="10"/>
      <c r="F428" s="6"/>
      <c r="G428" s="6"/>
      <c r="H428" s="6"/>
      <c r="I428" s="10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6">
      <c r="A429" s="10"/>
      <c r="B429" s="6"/>
      <c r="C429" s="6"/>
      <c r="D429" s="6"/>
      <c r="E429" s="10"/>
      <c r="F429" s="6"/>
      <c r="G429" s="6"/>
      <c r="H429" s="6"/>
      <c r="I429" s="10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6">
      <c r="A430" s="10"/>
      <c r="B430" s="6"/>
      <c r="C430" s="6"/>
      <c r="D430" s="6"/>
      <c r="E430" s="10"/>
      <c r="F430" s="6"/>
      <c r="G430" s="6"/>
      <c r="H430" s="6"/>
      <c r="I430" s="10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6">
      <c r="A431" s="10"/>
      <c r="B431" s="6"/>
      <c r="C431" s="6"/>
      <c r="D431" s="6"/>
      <c r="E431" s="10"/>
      <c r="F431" s="6"/>
      <c r="G431" s="6"/>
      <c r="H431" s="6"/>
      <c r="I431" s="10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6">
      <c r="A432" s="10"/>
      <c r="B432" s="6"/>
      <c r="C432" s="6"/>
      <c r="D432" s="6"/>
      <c r="E432" s="10"/>
      <c r="F432" s="6"/>
      <c r="G432" s="6"/>
      <c r="H432" s="6"/>
      <c r="I432" s="10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</row>
    <row r="433" spans="1:27" ht="16">
      <c r="A433" s="10"/>
      <c r="B433" s="6"/>
      <c r="C433" s="6"/>
      <c r="D433" s="6"/>
      <c r="E433" s="10"/>
      <c r="F433" s="6"/>
      <c r="G433" s="6"/>
      <c r="H433" s="6"/>
      <c r="I433" s="10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</row>
    <row r="434" spans="1:27" ht="16">
      <c r="A434" s="10"/>
      <c r="B434" s="6"/>
      <c r="C434" s="6"/>
      <c r="D434" s="6"/>
      <c r="E434" s="10"/>
      <c r="F434" s="6"/>
      <c r="G434" s="6"/>
      <c r="H434" s="6"/>
      <c r="I434" s="10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</row>
    <row r="435" spans="1:27" ht="16">
      <c r="A435" s="10"/>
      <c r="B435" s="6"/>
      <c r="C435" s="6"/>
      <c r="D435" s="6"/>
      <c r="E435" s="10"/>
      <c r="F435" s="6"/>
      <c r="G435" s="6"/>
      <c r="H435" s="6"/>
      <c r="I435" s="10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</row>
    <row r="436" spans="1:27" ht="16">
      <c r="A436" s="10"/>
      <c r="B436" s="6"/>
      <c r="C436" s="6"/>
      <c r="D436" s="6"/>
      <c r="E436" s="10"/>
      <c r="F436" s="6"/>
      <c r="G436" s="6"/>
      <c r="H436" s="6"/>
      <c r="I436" s="10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</row>
    <row r="437" spans="1:27" ht="16">
      <c r="A437" s="10"/>
      <c r="B437" s="6"/>
      <c r="C437" s="6"/>
      <c r="D437" s="6"/>
      <c r="E437" s="10"/>
      <c r="F437" s="6"/>
      <c r="G437" s="6"/>
      <c r="H437" s="6"/>
      <c r="I437" s="10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</row>
    <row r="438" spans="1:27" ht="16">
      <c r="A438" s="10"/>
      <c r="B438" s="6"/>
      <c r="C438" s="6"/>
      <c r="D438" s="6"/>
      <c r="E438" s="10"/>
      <c r="F438" s="6"/>
      <c r="G438" s="6"/>
      <c r="H438" s="6"/>
      <c r="I438" s="10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</row>
    <row r="439" spans="1:27" ht="16">
      <c r="A439" s="10"/>
      <c r="B439" s="6"/>
      <c r="C439" s="6"/>
      <c r="D439" s="6"/>
      <c r="E439" s="10"/>
      <c r="F439" s="6"/>
      <c r="G439" s="6"/>
      <c r="H439" s="6"/>
      <c r="I439" s="10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</row>
    <row r="440" spans="1:27" ht="16">
      <c r="A440" s="10"/>
      <c r="B440" s="6"/>
      <c r="C440" s="6"/>
      <c r="D440" s="6"/>
      <c r="E440" s="10"/>
      <c r="F440" s="6"/>
      <c r="G440" s="6"/>
      <c r="H440" s="6"/>
      <c r="I440" s="10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</row>
    <row r="441" spans="1:27" ht="16">
      <c r="A441" s="10"/>
      <c r="B441" s="6"/>
      <c r="C441" s="6"/>
      <c r="D441" s="6"/>
      <c r="E441" s="10"/>
      <c r="F441" s="6"/>
      <c r="G441" s="6"/>
      <c r="H441" s="6"/>
      <c r="I441" s="10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</row>
    <row r="442" spans="1:27" ht="16">
      <c r="A442" s="10"/>
      <c r="B442" s="6"/>
      <c r="C442" s="6"/>
      <c r="D442" s="6"/>
      <c r="E442" s="10"/>
      <c r="F442" s="6"/>
      <c r="G442" s="6"/>
      <c r="H442" s="6"/>
      <c r="I442" s="10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6">
      <c r="A443" s="10"/>
      <c r="B443" s="6"/>
      <c r="C443" s="6"/>
      <c r="D443" s="6"/>
      <c r="E443" s="10"/>
      <c r="F443" s="6"/>
      <c r="G443" s="6"/>
      <c r="H443" s="6"/>
      <c r="I443" s="10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6">
      <c r="A444" s="10"/>
      <c r="B444" s="6"/>
      <c r="C444" s="6"/>
      <c r="D444" s="6"/>
      <c r="E444" s="10"/>
      <c r="F444" s="6"/>
      <c r="G444" s="6"/>
      <c r="H444" s="6"/>
      <c r="I444" s="10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6">
      <c r="A445" s="10"/>
      <c r="B445" s="6"/>
      <c r="C445" s="6"/>
      <c r="D445" s="6"/>
      <c r="E445" s="10"/>
      <c r="F445" s="6"/>
      <c r="G445" s="6"/>
      <c r="H445" s="6"/>
      <c r="I445" s="10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6">
      <c r="A446" s="10"/>
      <c r="B446" s="6"/>
      <c r="C446" s="6"/>
      <c r="D446" s="6"/>
      <c r="E446" s="10"/>
      <c r="F446" s="6"/>
      <c r="G446" s="6"/>
      <c r="H446" s="6"/>
      <c r="I446" s="10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6">
      <c r="A447" s="10"/>
      <c r="B447" s="6"/>
      <c r="C447" s="6"/>
      <c r="D447" s="6"/>
      <c r="E447" s="10"/>
      <c r="F447" s="6"/>
      <c r="G447" s="6"/>
      <c r="H447" s="6"/>
      <c r="I447" s="10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6">
      <c r="A448" s="10"/>
      <c r="B448" s="6"/>
      <c r="C448" s="6"/>
      <c r="D448" s="6"/>
      <c r="E448" s="10"/>
      <c r="F448" s="6"/>
      <c r="G448" s="6"/>
      <c r="H448" s="6"/>
      <c r="I448" s="10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6">
      <c r="A449" s="10"/>
      <c r="B449" s="6"/>
      <c r="C449" s="6"/>
      <c r="D449" s="6"/>
      <c r="E449" s="10"/>
      <c r="F449" s="6"/>
      <c r="G449" s="6"/>
      <c r="H449" s="6"/>
      <c r="I449" s="10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6">
      <c r="A450" s="10"/>
      <c r="B450" s="6"/>
      <c r="C450" s="6"/>
      <c r="D450" s="6"/>
      <c r="E450" s="10"/>
      <c r="F450" s="6"/>
      <c r="G450" s="6"/>
      <c r="H450" s="6"/>
      <c r="I450" s="10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6">
      <c r="A451" s="10"/>
      <c r="B451" s="6"/>
      <c r="C451" s="6"/>
      <c r="D451" s="6"/>
      <c r="E451" s="10"/>
      <c r="F451" s="6"/>
      <c r="G451" s="6"/>
      <c r="H451" s="6"/>
      <c r="I451" s="10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6">
      <c r="A452" s="10"/>
      <c r="B452" s="6"/>
      <c r="C452" s="6"/>
      <c r="D452" s="6"/>
      <c r="E452" s="10"/>
      <c r="F452" s="6"/>
      <c r="G452" s="6"/>
      <c r="H452" s="6"/>
      <c r="I452" s="10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6">
      <c r="A453" s="10"/>
      <c r="B453" s="6"/>
      <c r="C453" s="6"/>
      <c r="D453" s="6"/>
      <c r="E453" s="10"/>
      <c r="F453" s="6"/>
      <c r="G453" s="6"/>
      <c r="H453" s="6"/>
      <c r="I453" s="10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6">
      <c r="A454" s="10"/>
      <c r="B454" s="6"/>
      <c r="C454" s="6"/>
      <c r="D454" s="6"/>
      <c r="E454" s="10"/>
      <c r="F454" s="6"/>
      <c r="G454" s="6"/>
      <c r="H454" s="6"/>
      <c r="I454" s="10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6">
      <c r="A455" s="10"/>
      <c r="B455" s="6"/>
      <c r="C455" s="6"/>
      <c r="D455" s="6"/>
      <c r="E455" s="10"/>
      <c r="F455" s="6"/>
      <c r="G455" s="6"/>
      <c r="H455" s="6"/>
      <c r="I455" s="10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6">
      <c r="A456" s="10"/>
      <c r="B456" s="6"/>
      <c r="C456" s="6"/>
      <c r="D456" s="6"/>
      <c r="E456" s="10"/>
      <c r="F456" s="6"/>
      <c r="G456" s="6"/>
      <c r="H456" s="6"/>
      <c r="I456" s="10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6">
      <c r="A457" s="10"/>
      <c r="B457" s="6"/>
      <c r="C457" s="6"/>
      <c r="D457" s="6"/>
      <c r="E457" s="10"/>
      <c r="F457" s="6"/>
      <c r="G457" s="6"/>
      <c r="H457" s="6"/>
      <c r="I457" s="10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6">
      <c r="A458" s="10"/>
      <c r="B458" s="6"/>
      <c r="C458" s="6"/>
      <c r="D458" s="6"/>
      <c r="E458" s="10"/>
      <c r="F458" s="6"/>
      <c r="G458" s="6"/>
      <c r="H458" s="6"/>
      <c r="I458" s="10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6">
      <c r="A459" s="10"/>
      <c r="B459" s="6"/>
      <c r="C459" s="6"/>
      <c r="D459" s="6"/>
      <c r="E459" s="10"/>
      <c r="F459" s="6"/>
      <c r="G459" s="6"/>
      <c r="H459" s="6"/>
      <c r="I459" s="10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6">
      <c r="A460" s="10"/>
      <c r="B460" s="6"/>
      <c r="C460" s="6"/>
      <c r="D460" s="6"/>
      <c r="E460" s="10"/>
      <c r="F460" s="6"/>
      <c r="G460" s="6"/>
      <c r="H460" s="6"/>
      <c r="I460" s="10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6">
      <c r="A461" s="10"/>
      <c r="B461" s="6"/>
      <c r="C461" s="6"/>
      <c r="D461" s="6"/>
      <c r="E461" s="10"/>
      <c r="F461" s="6"/>
      <c r="G461" s="6"/>
      <c r="H461" s="6"/>
      <c r="I461" s="10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6">
      <c r="A462" s="10"/>
      <c r="B462" s="6"/>
      <c r="C462" s="6"/>
      <c r="D462" s="6"/>
      <c r="E462" s="10"/>
      <c r="F462" s="6"/>
      <c r="G462" s="6"/>
      <c r="H462" s="6"/>
      <c r="I462" s="10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6">
      <c r="A463" s="10"/>
      <c r="B463" s="6"/>
      <c r="C463" s="6"/>
      <c r="D463" s="6"/>
      <c r="E463" s="10"/>
      <c r="F463" s="6"/>
      <c r="G463" s="6"/>
      <c r="H463" s="6"/>
      <c r="I463" s="10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6">
      <c r="A464" s="10"/>
      <c r="B464" s="6"/>
      <c r="C464" s="6"/>
      <c r="D464" s="6"/>
      <c r="E464" s="10"/>
      <c r="F464" s="6"/>
      <c r="G464" s="6"/>
      <c r="H464" s="6"/>
      <c r="I464" s="10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6">
      <c r="A465" s="10"/>
      <c r="B465" s="6"/>
      <c r="C465" s="6"/>
      <c r="D465" s="6"/>
      <c r="E465" s="10"/>
      <c r="F465" s="6"/>
      <c r="G465" s="6"/>
      <c r="H465" s="6"/>
      <c r="I465" s="10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6">
      <c r="A466" s="10"/>
      <c r="B466" s="6"/>
      <c r="C466" s="6"/>
      <c r="D466" s="6"/>
      <c r="E466" s="10"/>
      <c r="F466" s="6"/>
      <c r="G466" s="6"/>
      <c r="H466" s="6"/>
      <c r="I466" s="10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6">
      <c r="A467" s="10"/>
      <c r="B467" s="6"/>
      <c r="C467" s="6"/>
      <c r="D467" s="6"/>
      <c r="E467" s="10"/>
      <c r="F467" s="6"/>
      <c r="G467" s="6"/>
      <c r="H467" s="6"/>
      <c r="I467" s="10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6">
      <c r="A468" s="10"/>
      <c r="B468" s="6"/>
      <c r="C468" s="6"/>
      <c r="D468" s="6"/>
      <c r="E468" s="10"/>
      <c r="F468" s="6"/>
      <c r="G468" s="6"/>
      <c r="H468" s="6"/>
      <c r="I468" s="10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6">
      <c r="A469" s="10"/>
      <c r="B469" s="6"/>
      <c r="C469" s="6"/>
      <c r="D469" s="6"/>
      <c r="E469" s="10"/>
      <c r="F469" s="6"/>
      <c r="G469" s="6"/>
      <c r="H469" s="6"/>
      <c r="I469" s="10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6">
      <c r="A470" s="10"/>
      <c r="B470" s="6"/>
      <c r="C470" s="6"/>
      <c r="D470" s="6"/>
      <c r="E470" s="10"/>
      <c r="F470" s="6"/>
      <c r="G470" s="6"/>
      <c r="H470" s="6"/>
      <c r="I470" s="10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6">
      <c r="A471" s="10"/>
      <c r="B471" s="6"/>
      <c r="C471" s="6"/>
      <c r="D471" s="6"/>
      <c r="E471" s="10"/>
      <c r="F471" s="6"/>
      <c r="G471" s="6"/>
      <c r="H471" s="6"/>
      <c r="I471" s="10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6">
      <c r="A472" s="10"/>
      <c r="B472" s="6"/>
      <c r="C472" s="6"/>
      <c r="D472" s="6"/>
      <c r="E472" s="10"/>
      <c r="F472" s="6"/>
      <c r="G472" s="6"/>
      <c r="H472" s="6"/>
      <c r="I472" s="10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</row>
    <row r="473" spans="1:27" ht="16">
      <c r="A473" s="10"/>
      <c r="B473" s="6"/>
      <c r="C473" s="6"/>
      <c r="D473" s="6"/>
      <c r="E473" s="10"/>
      <c r="F473" s="6"/>
      <c r="G473" s="6"/>
      <c r="H473" s="6"/>
      <c r="I473" s="10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</row>
    <row r="474" spans="1:27" ht="16">
      <c r="A474" s="10"/>
      <c r="B474" s="6"/>
      <c r="C474" s="6"/>
      <c r="D474" s="6"/>
      <c r="E474" s="10"/>
      <c r="F474" s="6"/>
      <c r="G474" s="6"/>
      <c r="H474" s="6"/>
      <c r="I474" s="10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</row>
    <row r="475" spans="1:27" ht="16">
      <c r="A475" s="10"/>
      <c r="B475" s="6"/>
      <c r="C475" s="6"/>
      <c r="D475" s="6"/>
      <c r="E475" s="10"/>
      <c r="F475" s="6"/>
      <c r="G475" s="6"/>
      <c r="H475" s="6"/>
      <c r="I475" s="10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</row>
    <row r="476" spans="1:27" ht="16">
      <c r="A476" s="10"/>
      <c r="B476" s="6"/>
      <c r="C476" s="6"/>
      <c r="D476" s="6"/>
      <c r="E476" s="10"/>
      <c r="F476" s="6"/>
      <c r="G476" s="6"/>
      <c r="H476" s="6"/>
      <c r="I476" s="10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</row>
    <row r="477" spans="1:27" ht="16">
      <c r="A477" s="10"/>
      <c r="B477" s="6"/>
      <c r="C477" s="6"/>
      <c r="D477" s="6"/>
      <c r="E477" s="10"/>
      <c r="F477" s="6"/>
      <c r="G477" s="6"/>
      <c r="H477" s="6"/>
      <c r="I477" s="10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</row>
    <row r="478" spans="1:27" ht="16">
      <c r="A478" s="10"/>
      <c r="B478" s="6"/>
      <c r="C478" s="6"/>
      <c r="D478" s="6"/>
      <c r="E478" s="10"/>
      <c r="F478" s="6"/>
      <c r="G478" s="6"/>
      <c r="H478" s="6"/>
      <c r="I478" s="10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</row>
    <row r="479" spans="1:27" ht="16">
      <c r="A479" s="10"/>
      <c r="B479" s="6"/>
      <c r="C479" s="6"/>
      <c r="D479" s="6"/>
      <c r="E479" s="10"/>
      <c r="F479" s="6"/>
      <c r="G479" s="6"/>
      <c r="H479" s="6"/>
      <c r="I479" s="10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</row>
    <row r="480" spans="1:27" ht="16">
      <c r="A480" s="10"/>
      <c r="B480" s="6"/>
      <c r="C480" s="6"/>
      <c r="D480" s="6"/>
      <c r="E480" s="10"/>
      <c r="F480" s="6"/>
      <c r="G480" s="6"/>
      <c r="H480" s="6"/>
      <c r="I480" s="10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</row>
    <row r="481" spans="1:27" ht="16">
      <c r="A481" s="10"/>
      <c r="B481" s="6"/>
      <c r="C481" s="6"/>
      <c r="D481" s="6"/>
      <c r="E481" s="10"/>
      <c r="F481" s="6"/>
      <c r="G481" s="6"/>
      <c r="H481" s="6"/>
      <c r="I481" s="10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</row>
    <row r="482" spans="1:27" ht="16">
      <c r="A482" s="10"/>
      <c r="B482" s="6"/>
      <c r="C482" s="6"/>
      <c r="D482" s="6"/>
      <c r="E482" s="10"/>
      <c r="F482" s="6"/>
      <c r="G482" s="6"/>
      <c r="H482" s="6"/>
      <c r="I482" s="10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6">
      <c r="A483" s="10"/>
      <c r="B483" s="6"/>
      <c r="C483" s="6"/>
      <c r="D483" s="6"/>
      <c r="E483" s="10"/>
      <c r="F483" s="6"/>
      <c r="G483" s="6"/>
      <c r="H483" s="6"/>
      <c r="I483" s="10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6">
      <c r="A484" s="10"/>
      <c r="B484" s="6"/>
      <c r="C484" s="6"/>
      <c r="D484" s="6"/>
      <c r="E484" s="10"/>
      <c r="F484" s="6"/>
      <c r="G484" s="6"/>
      <c r="H484" s="6"/>
      <c r="I484" s="10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6">
      <c r="A485" s="10"/>
      <c r="B485" s="6"/>
      <c r="C485" s="6"/>
      <c r="D485" s="6"/>
      <c r="E485" s="10"/>
      <c r="F485" s="6"/>
      <c r="G485" s="6"/>
      <c r="H485" s="6"/>
      <c r="I485" s="10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6">
      <c r="A486" s="10"/>
      <c r="B486" s="6"/>
      <c r="C486" s="6"/>
      <c r="D486" s="6"/>
      <c r="E486" s="10"/>
      <c r="F486" s="6"/>
      <c r="G486" s="6"/>
      <c r="H486" s="6"/>
      <c r="I486" s="10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6">
      <c r="A487" s="10"/>
      <c r="B487" s="6"/>
      <c r="C487" s="6"/>
      <c r="D487" s="6"/>
      <c r="E487" s="10"/>
      <c r="F487" s="6"/>
      <c r="G487" s="6"/>
      <c r="H487" s="6"/>
      <c r="I487" s="10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6">
      <c r="A488" s="10"/>
      <c r="B488" s="6"/>
      <c r="C488" s="6"/>
      <c r="D488" s="6"/>
      <c r="E488" s="10"/>
      <c r="F488" s="6"/>
      <c r="G488" s="6"/>
      <c r="H488" s="6"/>
      <c r="I488" s="10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6">
      <c r="A489" s="10"/>
      <c r="B489" s="6"/>
      <c r="C489" s="6"/>
      <c r="D489" s="6"/>
      <c r="E489" s="10"/>
      <c r="F489" s="6"/>
      <c r="G489" s="6"/>
      <c r="H489" s="6"/>
      <c r="I489" s="10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6">
      <c r="A490" s="10"/>
      <c r="B490" s="6"/>
      <c r="C490" s="6"/>
      <c r="D490" s="6"/>
      <c r="E490" s="10"/>
      <c r="F490" s="6"/>
      <c r="G490" s="6"/>
      <c r="H490" s="6"/>
      <c r="I490" s="10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6">
      <c r="A491" s="10"/>
      <c r="B491" s="6"/>
      <c r="C491" s="6"/>
      <c r="D491" s="6"/>
      <c r="E491" s="10"/>
      <c r="F491" s="6"/>
      <c r="G491" s="6"/>
      <c r="H491" s="6"/>
      <c r="I491" s="10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6">
      <c r="A492" s="10"/>
      <c r="B492" s="6"/>
      <c r="C492" s="6"/>
      <c r="D492" s="6"/>
      <c r="E492" s="10"/>
      <c r="F492" s="6"/>
      <c r="G492" s="6"/>
      <c r="H492" s="6"/>
      <c r="I492" s="10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6">
      <c r="A493" s="10"/>
      <c r="B493" s="6"/>
      <c r="C493" s="6"/>
      <c r="D493" s="6"/>
      <c r="E493" s="10"/>
      <c r="F493" s="6"/>
      <c r="G493" s="6"/>
      <c r="H493" s="6"/>
      <c r="I493" s="10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6">
      <c r="A494" s="10"/>
      <c r="B494" s="6"/>
      <c r="C494" s="6"/>
      <c r="D494" s="6"/>
      <c r="E494" s="10"/>
      <c r="F494" s="6"/>
      <c r="G494" s="6"/>
      <c r="H494" s="6"/>
      <c r="I494" s="10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6">
      <c r="A495" s="10"/>
      <c r="B495" s="6"/>
      <c r="C495" s="6"/>
      <c r="D495" s="6"/>
      <c r="E495" s="10"/>
      <c r="F495" s="6"/>
      <c r="G495" s="6"/>
      <c r="H495" s="6"/>
      <c r="I495" s="10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6">
      <c r="A496" s="10"/>
      <c r="B496" s="6"/>
      <c r="C496" s="6"/>
      <c r="D496" s="6"/>
      <c r="E496" s="10"/>
      <c r="F496" s="6"/>
      <c r="G496" s="6"/>
      <c r="H496" s="6"/>
      <c r="I496" s="10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6">
      <c r="A497" s="10"/>
      <c r="B497" s="6"/>
      <c r="C497" s="6"/>
      <c r="D497" s="6"/>
      <c r="E497" s="10"/>
      <c r="F497" s="6"/>
      <c r="G497" s="6"/>
      <c r="H497" s="6"/>
      <c r="I497" s="10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6">
      <c r="A498" s="10"/>
      <c r="B498" s="6"/>
      <c r="C498" s="6"/>
      <c r="D498" s="6"/>
      <c r="E498" s="10"/>
      <c r="F498" s="6"/>
      <c r="G498" s="6"/>
      <c r="H498" s="6"/>
      <c r="I498" s="10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6">
      <c r="A499" s="10"/>
      <c r="B499" s="6"/>
      <c r="C499" s="6"/>
      <c r="D499" s="6"/>
      <c r="E499" s="10"/>
      <c r="F499" s="6"/>
      <c r="G499" s="6"/>
      <c r="H499" s="6"/>
      <c r="I499" s="10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6">
      <c r="A500" s="10"/>
      <c r="B500" s="6"/>
      <c r="C500" s="6"/>
      <c r="D500" s="6"/>
      <c r="E500" s="10"/>
      <c r="F500" s="6"/>
      <c r="G500" s="6"/>
      <c r="H500" s="6"/>
      <c r="I500" s="10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6">
      <c r="A501" s="10"/>
      <c r="B501" s="6"/>
      <c r="C501" s="6"/>
      <c r="D501" s="6"/>
      <c r="E501" s="10"/>
      <c r="F501" s="6"/>
      <c r="G501" s="6"/>
      <c r="H501" s="6"/>
      <c r="I501" s="10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6">
      <c r="A502" s="10"/>
      <c r="B502" s="6"/>
      <c r="C502" s="6"/>
      <c r="D502" s="6"/>
      <c r="E502" s="10"/>
      <c r="F502" s="6"/>
      <c r="G502" s="6"/>
      <c r="H502" s="6"/>
      <c r="I502" s="10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6">
      <c r="A503" s="10"/>
      <c r="B503" s="6"/>
      <c r="C503" s="6"/>
      <c r="D503" s="6"/>
      <c r="E503" s="10"/>
      <c r="F503" s="6"/>
      <c r="G503" s="6"/>
      <c r="H503" s="6"/>
      <c r="I503" s="10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6">
      <c r="A504" s="10"/>
      <c r="B504" s="6"/>
      <c r="C504" s="6"/>
      <c r="D504" s="6"/>
      <c r="E504" s="10"/>
      <c r="F504" s="6"/>
      <c r="G504" s="6"/>
      <c r="H504" s="6"/>
      <c r="I504" s="10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6">
      <c r="A505" s="10"/>
      <c r="B505" s="6"/>
      <c r="C505" s="6"/>
      <c r="D505" s="6"/>
      <c r="E505" s="10"/>
      <c r="F505" s="6"/>
      <c r="G505" s="6"/>
      <c r="H505" s="6"/>
      <c r="I505" s="10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6">
      <c r="A506" s="10"/>
      <c r="B506" s="6"/>
      <c r="C506" s="6"/>
      <c r="D506" s="6"/>
      <c r="E506" s="10"/>
      <c r="F506" s="6"/>
      <c r="G506" s="6"/>
      <c r="H506" s="6"/>
      <c r="I506" s="10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6">
      <c r="A507" s="10"/>
      <c r="B507" s="6"/>
      <c r="C507" s="6"/>
      <c r="D507" s="6"/>
      <c r="E507" s="10"/>
      <c r="F507" s="6"/>
      <c r="G507" s="6"/>
      <c r="H507" s="6"/>
      <c r="I507" s="10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6">
      <c r="A508" s="10"/>
      <c r="B508" s="6"/>
      <c r="C508" s="6"/>
      <c r="D508" s="6"/>
      <c r="E508" s="10"/>
      <c r="F508" s="6"/>
      <c r="G508" s="6"/>
      <c r="H508" s="6"/>
      <c r="I508" s="10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6">
      <c r="A509" s="10"/>
      <c r="B509" s="6"/>
      <c r="C509" s="6"/>
      <c r="D509" s="6"/>
      <c r="E509" s="10"/>
      <c r="F509" s="6"/>
      <c r="G509" s="6"/>
      <c r="H509" s="6"/>
      <c r="I509" s="10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6">
      <c r="A510" s="10"/>
      <c r="B510" s="6"/>
      <c r="C510" s="6"/>
      <c r="D510" s="6"/>
      <c r="E510" s="10"/>
      <c r="F510" s="6"/>
      <c r="G510" s="6"/>
      <c r="H510" s="6"/>
      <c r="I510" s="10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6">
      <c r="A511" s="10"/>
      <c r="B511" s="6"/>
      <c r="C511" s="6"/>
      <c r="D511" s="6"/>
      <c r="E511" s="10"/>
      <c r="F511" s="6"/>
      <c r="G511" s="6"/>
      <c r="H511" s="6"/>
      <c r="I511" s="10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6">
      <c r="A512" s="10"/>
      <c r="B512" s="6"/>
      <c r="C512" s="6"/>
      <c r="D512" s="6"/>
      <c r="E512" s="10"/>
      <c r="F512" s="6"/>
      <c r="G512" s="6"/>
      <c r="H512" s="6"/>
      <c r="I512" s="10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6">
      <c r="A513" s="10"/>
      <c r="B513" s="6"/>
      <c r="C513" s="6"/>
      <c r="D513" s="6"/>
      <c r="E513" s="10"/>
      <c r="F513" s="6"/>
      <c r="G513" s="6"/>
      <c r="H513" s="6"/>
      <c r="I513" s="10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6">
      <c r="A514" s="10"/>
      <c r="B514" s="6"/>
      <c r="C514" s="6"/>
      <c r="D514" s="6"/>
      <c r="E514" s="10"/>
      <c r="F514" s="6"/>
      <c r="G514" s="6"/>
      <c r="H514" s="6"/>
      <c r="I514" s="10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6">
      <c r="A515" s="10"/>
      <c r="B515" s="6"/>
      <c r="C515" s="6"/>
      <c r="D515" s="6"/>
      <c r="E515" s="10"/>
      <c r="F515" s="6"/>
      <c r="G515" s="6"/>
      <c r="H515" s="6"/>
      <c r="I515" s="10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6">
      <c r="A516" s="10"/>
      <c r="B516" s="6"/>
      <c r="C516" s="6"/>
      <c r="D516" s="6"/>
      <c r="E516" s="10"/>
      <c r="F516" s="6"/>
      <c r="G516" s="6"/>
      <c r="H516" s="6"/>
      <c r="I516" s="10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6">
      <c r="A517" s="10"/>
      <c r="B517" s="6"/>
      <c r="C517" s="6"/>
      <c r="D517" s="6"/>
      <c r="E517" s="10"/>
      <c r="F517" s="6"/>
      <c r="G517" s="6"/>
      <c r="H517" s="6"/>
      <c r="I517" s="10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6">
      <c r="A518" s="10"/>
      <c r="B518" s="6"/>
      <c r="C518" s="6"/>
      <c r="D518" s="6"/>
      <c r="E518" s="10"/>
      <c r="F518" s="6"/>
      <c r="G518" s="6"/>
      <c r="H518" s="6"/>
      <c r="I518" s="10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6">
      <c r="A519" s="10"/>
      <c r="B519" s="6"/>
      <c r="C519" s="6"/>
      <c r="D519" s="6"/>
      <c r="E519" s="10"/>
      <c r="F519" s="6"/>
      <c r="G519" s="6"/>
      <c r="H519" s="6"/>
      <c r="I519" s="10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6">
      <c r="A520" s="10"/>
      <c r="B520" s="6"/>
      <c r="C520" s="6"/>
      <c r="D520" s="6"/>
      <c r="E520" s="10"/>
      <c r="F520" s="6"/>
      <c r="G520" s="6"/>
      <c r="H520" s="6"/>
      <c r="I520" s="10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6">
      <c r="A521" s="10"/>
      <c r="B521" s="6"/>
      <c r="C521" s="6"/>
      <c r="D521" s="6"/>
      <c r="E521" s="10"/>
      <c r="F521" s="6"/>
      <c r="G521" s="6"/>
      <c r="H521" s="6"/>
      <c r="I521" s="10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6">
      <c r="A522" s="10"/>
      <c r="B522" s="6"/>
      <c r="C522" s="6"/>
      <c r="D522" s="6"/>
      <c r="E522" s="10"/>
      <c r="F522" s="6"/>
      <c r="G522" s="6"/>
      <c r="H522" s="6"/>
      <c r="I522" s="10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6">
      <c r="A523" s="10"/>
      <c r="B523" s="6"/>
      <c r="C523" s="6"/>
      <c r="D523" s="6"/>
      <c r="E523" s="10"/>
      <c r="F523" s="6"/>
      <c r="G523" s="6"/>
      <c r="H523" s="6"/>
      <c r="I523" s="10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6">
      <c r="A524" s="10"/>
      <c r="B524" s="6"/>
      <c r="C524" s="6"/>
      <c r="D524" s="6"/>
      <c r="E524" s="10"/>
      <c r="F524" s="6"/>
      <c r="G524" s="6"/>
      <c r="H524" s="6"/>
      <c r="I524" s="10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6">
      <c r="A525" s="10"/>
      <c r="B525" s="6"/>
      <c r="C525" s="6"/>
      <c r="D525" s="6"/>
      <c r="E525" s="10"/>
      <c r="F525" s="6"/>
      <c r="G525" s="6"/>
      <c r="H525" s="6"/>
      <c r="I525" s="10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6">
      <c r="A526" s="10"/>
      <c r="B526" s="6"/>
      <c r="C526" s="6"/>
      <c r="D526" s="6"/>
      <c r="E526" s="10"/>
      <c r="F526" s="6"/>
      <c r="G526" s="6"/>
      <c r="H526" s="6"/>
      <c r="I526" s="10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6">
      <c r="A527" s="10"/>
      <c r="B527" s="6"/>
      <c r="C527" s="6"/>
      <c r="D527" s="6"/>
      <c r="E527" s="10"/>
      <c r="F527" s="6"/>
      <c r="G527" s="6"/>
      <c r="H527" s="6"/>
      <c r="I527" s="10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6">
      <c r="A528" s="10"/>
      <c r="B528" s="6"/>
      <c r="C528" s="6"/>
      <c r="D528" s="6"/>
      <c r="E528" s="10"/>
      <c r="F528" s="6"/>
      <c r="G528" s="6"/>
      <c r="H528" s="6"/>
      <c r="I528" s="10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6">
      <c r="A529" s="10"/>
      <c r="B529" s="6"/>
      <c r="C529" s="6"/>
      <c r="D529" s="6"/>
      <c r="E529" s="10"/>
      <c r="F529" s="6"/>
      <c r="G529" s="6"/>
      <c r="H529" s="6"/>
      <c r="I529" s="10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6">
      <c r="A530" s="10"/>
      <c r="B530" s="6"/>
      <c r="C530" s="6"/>
      <c r="D530" s="6"/>
      <c r="E530" s="10"/>
      <c r="F530" s="6"/>
      <c r="G530" s="6"/>
      <c r="H530" s="6"/>
      <c r="I530" s="10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6">
      <c r="A531" s="10"/>
      <c r="B531" s="6"/>
      <c r="C531" s="6"/>
      <c r="D531" s="6"/>
      <c r="E531" s="10"/>
      <c r="F531" s="6"/>
      <c r="G531" s="6"/>
      <c r="H531" s="6"/>
      <c r="I531" s="10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6">
      <c r="A532" s="10"/>
      <c r="B532" s="6"/>
      <c r="C532" s="6"/>
      <c r="D532" s="6"/>
      <c r="E532" s="10"/>
      <c r="F532" s="6"/>
      <c r="G532" s="6"/>
      <c r="H532" s="6"/>
      <c r="I532" s="10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6">
      <c r="A533" s="10"/>
      <c r="B533" s="6"/>
      <c r="C533" s="6"/>
      <c r="D533" s="6"/>
      <c r="E533" s="10"/>
      <c r="F533" s="6"/>
      <c r="G533" s="6"/>
      <c r="H533" s="6"/>
      <c r="I533" s="10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6">
      <c r="A534" s="10"/>
      <c r="B534" s="6"/>
      <c r="C534" s="6"/>
      <c r="D534" s="6"/>
      <c r="E534" s="10"/>
      <c r="F534" s="6"/>
      <c r="G534" s="6"/>
      <c r="H534" s="6"/>
      <c r="I534" s="10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6">
      <c r="A535" s="10"/>
      <c r="B535" s="6"/>
      <c r="C535" s="6"/>
      <c r="D535" s="6"/>
      <c r="E535" s="10"/>
      <c r="F535" s="6"/>
      <c r="G535" s="6"/>
      <c r="H535" s="6"/>
      <c r="I535" s="10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6">
      <c r="A536" s="10"/>
      <c r="B536" s="6"/>
      <c r="C536" s="6"/>
      <c r="D536" s="6"/>
      <c r="E536" s="10"/>
      <c r="F536" s="6"/>
      <c r="G536" s="6"/>
      <c r="H536" s="6"/>
      <c r="I536" s="10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6">
      <c r="A537" s="10"/>
      <c r="B537" s="6"/>
      <c r="C537" s="6"/>
      <c r="D537" s="6"/>
      <c r="E537" s="10"/>
      <c r="F537" s="6"/>
      <c r="G537" s="6"/>
      <c r="H537" s="6"/>
      <c r="I537" s="10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6">
      <c r="A538" s="10"/>
      <c r="B538" s="6"/>
      <c r="C538" s="6"/>
      <c r="D538" s="6"/>
      <c r="E538" s="10"/>
      <c r="F538" s="6"/>
      <c r="G538" s="6"/>
      <c r="H538" s="6"/>
      <c r="I538" s="10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6">
      <c r="A539" s="10"/>
      <c r="B539" s="6"/>
      <c r="C539" s="6"/>
      <c r="D539" s="6"/>
      <c r="E539" s="10"/>
      <c r="F539" s="6"/>
      <c r="G539" s="6"/>
      <c r="H539" s="6"/>
      <c r="I539" s="10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6">
      <c r="A540" s="10"/>
      <c r="B540" s="6"/>
      <c r="C540" s="6"/>
      <c r="D540" s="6"/>
      <c r="E540" s="10"/>
      <c r="F540" s="6"/>
      <c r="G540" s="6"/>
      <c r="H540" s="6"/>
      <c r="I540" s="10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6">
      <c r="A541" s="10"/>
      <c r="B541" s="6"/>
      <c r="C541" s="6"/>
      <c r="D541" s="6"/>
      <c r="E541" s="10"/>
      <c r="F541" s="6"/>
      <c r="G541" s="6"/>
      <c r="H541" s="6"/>
      <c r="I541" s="10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6">
      <c r="A542" s="10"/>
      <c r="B542" s="6"/>
      <c r="C542" s="6"/>
      <c r="D542" s="6"/>
      <c r="E542" s="10"/>
      <c r="F542" s="6"/>
      <c r="G542" s="6"/>
      <c r="H542" s="6"/>
      <c r="I542" s="10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6">
      <c r="A543" s="10"/>
      <c r="B543" s="6"/>
      <c r="C543" s="6"/>
      <c r="D543" s="6"/>
      <c r="E543" s="10"/>
      <c r="F543" s="6"/>
      <c r="G543" s="6"/>
      <c r="H543" s="6"/>
      <c r="I543" s="10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6">
      <c r="A544" s="10"/>
      <c r="B544" s="6"/>
      <c r="C544" s="6"/>
      <c r="D544" s="6"/>
      <c r="E544" s="10"/>
      <c r="F544" s="6"/>
      <c r="G544" s="6"/>
      <c r="H544" s="6"/>
      <c r="I544" s="10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6">
      <c r="A545" s="10"/>
      <c r="B545" s="6"/>
      <c r="C545" s="6"/>
      <c r="D545" s="6"/>
      <c r="E545" s="10"/>
      <c r="F545" s="6"/>
      <c r="G545" s="6"/>
      <c r="H545" s="6"/>
      <c r="I545" s="10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6">
      <c r="A546" s="10"/>
      <c r="B546" s="6"/>
      <c r="C546" s="6"/>
      <c r="D546" s="6"/>
      <c r="E546" s="10"/>
      <c r="F546" s="6"/>
      <c r="G546" s="6"/>
      <c r="H546" s="6"/>
      <c r="I546" s="10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6">
      <c r="A547" s="10"/>
      <c r="B547" s="6"/>
      <c r="C547" s="6"/>
      <c r="D547" s="6"/>
      <c r="E547" s="10"/>
      <c r="F547" s="6"/>
      <c r="G547" s="6"/>
      <c r="H547" s="6"/>
      <c r="I547" s="10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6">
      <c r="A548" s="10"/>
      <c r="B548" s="6"/>
      <c r="C548" s="6"/>
      <c r="D548" s="6"/>
      <c r="E548" s="10"/>
      <c r="F548" s="6"/>
      <c r="G548" s="6"/>
      <c r="H548" s="6"/>
      <c r="I548" s="10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6">
      <c r="A549" s="10"/>
      <c r="B549" s="6"/>
      <c r="C549" s="6"/>
      <c r="D549" s="6"/>
      <c r="E549" s="10"/>
      <c r="F549" s="6"/>
      <c r="G549" s="6"/>
      <c r="H549" s="6"/>
      <c r="I549" s="10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6">
      <c r="A550" s="10"/>
      <c r="B550" s="6"/>
      <c r="C550" s="6"/>
      <c r="D550" s="6"/>
      <c r="E550" s="10"/>
      <c r="F550" s="6"/>
      <c r="G550" s="6"/>
      <c r="H550" s="6"/>
      <c r="I550" s="10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6">
      <c r="A551" s="10"/>
      <c r="B551" s="6"/>
      <c r="C551" s="6"/>
      <c r="D551" s="6"/>
      <c r="E551" s="10"/>
      <c r="F551" s="6"/>
      <c r="G551" s="6"/>
      <c r="H551" s="6"/>
      <c r="I551" s="10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6">
      <c r="A552" s="10"/>
      <c r="B552" s="6"/>
      <c r="C552" s="6"/>
      <c r="D552" s="6"/>
      <c r="E552" s="10"/>
      <c r="F552" s="6"/>
      <c r="G552" s="6"/>
      <c r="H552" s="6"/>
      <c r="I552" s="10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</row>
    <row r="553" spans="1:27" ht="16">
      <c r="A553" s="10"/>
      <c r="B553" s="6"/>
      <c r="C553" s="6"/>
      <c r="D553" s="6"/>
      <c r="E553" s="10"/>
      <c r="F553" s="6"/>
      <c r="G553" s="6"/>
      <c r="H553" s="6"/>
      <c r="I553" s="10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</row>
    <row r="554" spans="1:27" ht="16">
      <c r="A554" s="10"/>
      <c r="B554" s="6"/>
      <c r="C554" s="6"/>
      <c r="D554" s="6"/>
      <c r="E554" s="10"/>
      <c r="F554" s="6"/>
      <c r="G554" s="6"/>
      <c r="H554" s="6"/>
      <c r="I554" s="10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</row>
    <row r="555" spans="1:27" ht="16">
      <c r="A555" s="10"/>
      <c r="B555" s="6"/>
      <c r="C555" s="6"/>
      <c r="D555" s="6"/>
      <c r="E555" s="10"/>
      <c r="F555" s="6"/>
      <c r="G555" s="6"/>
      <c r="H555" s="6"/>
      <c r="I555" s="10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</row>
    <row r="556" spans="1:27" ht="16">
      <c r="A556" s="10"/>
      <c r="B556" s="6"/>
      <c r="C556" s="6"/>
      <c r="D556" s="6"/>
      <c r="E556" s="10"/>
      <c r="F556" s="6"/>
      <c r="G556" s="6"/>
      <c r="H556" s="6"/>
      <c r="I556" s="10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</row>
    <row r="557" spans="1:27" ht="16">
      <c r="A557" s="10"/>
      <c r="B557" s="6"/>
      <c r="C557" s="6"/>
      <c r="D557" s="6"/>
      <c r="E557" s="10"/>
      <c r="F557" s="6"/>
      <c r="G557" s="6"/>
      <c r="H557" s="6"/>
      <c r="I557" s="10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</row>
    <row r="558" spans="1:27" ht="16">
      <c r="A558" s="10"/>
      <c r="B558" s="6"/>
      <c r="C558" s="6"/>
      <c r="D558" s="6"/>
      <c r="E558" s="10"/>
      <c r="F558" s="6"/>
      <c r="G558" s="6"/>
      <c r="H558" s="6"/>
      <c r="I558" s="10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</row>
    <row r="559" spans="1:27" ht="16">
      <c r="A559" s="10"/>
      <c r="B559" s="6"/>
      <c r="C559" s="6"/>
      <c r="D559" s="6"/>
      <c r="E559" s="10"/>
      <c r="F559" s="6"/>
      <c r="G559" s="6"/>
      <c r="H559" s="6"/>
      <c r="I559" s="10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</row>
    <row r="560" spans="1:27" ht="16">
      <c r="A560" s="10"/>
      <c r="B560" s="6"/>
      <c r="C560" s="6"/>
      <c r="D560" s="6"/>
      <c r="E560" s="10"/>
      <c r="F560" s="6"/>
      <c r="G560" s="6"/>
      <c r="H560" s="6"/>
      <c r="I560" s="10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</row>
    <row r="561" spans="1:27" ht="16">
      <c r="A561" s="10"/>
      <c r="B561" s="6"/>
      <c r="C561" s="6"/>
      <c r="D561" s="6"/>
      <c r="E561" s="10"/>
      <c r="F561" s="6"/>
      <c r="G561" s="6"/>
      <c r="H561" s="6"/>
      <c r="I561" s="10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</row>
    <row r="562" spans="1:27" ht="16">
      <c r="A562" s="10"/>
      <c r="B562" s="6"/>
      <c r="C562" s="6"/>
      <c r="D562" s="6"/>
      <c r="E562" s="10"/>
      <c r="F562" s="6"/>
      <c r="G562" s="6"/>
      <c r="H562" s="6"/>
      <c r="I562" s="10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</row>
    <row r="563" spans="1:27" ht="16">
      <c r="A563" s="10"/>
      <c r="B563" s="6"/>
      <c r="C563" s="6"/>
      <c r="D563" s="6"/>
      <c r="E563" s="10"/>
      <c r="F563" s="6"/>
      <c r="G563" s="6"/>
      <c r="H563" s="6"/>
      <c r="I563" s="10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6">
      <c r="A564" s="10"/>
      <c r="B564" s="6"/>
      <c r="C564" s="6"/>
      <c r="D564" s="6"/>
      <c r="E564" s="10"/>
      <c r="F564" s="6"/>
      <c r="G564" s="6"/>
      <c r="H564" s="6"/>
      <c r="I564" s="10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6">
      <c r="A565" s="10"/>
      <c r="B565" s="6"/>
      <c r="C565" s="6"/>
      <c r="D565" s="6"/>
      <c r="E565" s="10"/>
      <c r="F565" s="6"/>
      <c r="G565" s="6"/>
      <c r="H565" s="6"/>
      <c r="I565" s="10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6">
      <c r="A566" s="10"/>
      <c r="B566" s="6"/>
      <c r="C566" s="6"/>
      <c r="D566" s="6"/>
      <c r="E566" s="10"/>
      <c r="F566" s="6"/>
      <c r="G566" s="6"/>
      <c r="H566" s="6"/>
      <c r="I566" s="10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6">
      <c r="A567" s="10"/>
      <c r="B567" s="6"/>
      <c r="C567" s="6"/>
      <c r="D567" s="6"/>
      <c r="E567" s="10"/>
      <c r="F567" s="6"/>
      <c r="G567" s="6"/>
      <c r="H567" s="6"/>
      <c r="I567" s="10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6">
      <c r="A568" s="10"/>
      <c r="B568" s="6"/>
      <c r="C568" s="6"/>
      <c r="D568" s="6"/>
      <c r="E568" s="10"/>
      <c r="F568" s="6"/>
      <c r="G568" s="6"/>
      <c r="H568" s="6"/>
      <c r="I568" s="10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6">
      <c r="A569" s="10"/>
      <c r="B569" s="6"/>
      <c r="C569" s="6"/>
      <c r="D569" s="6"/>
      <c r="E569" s="10"/>
      <c r="F569" s="6"/>
      <c r="G569" s="6"/>
      <c r="H569" s="6"/>
      <c r="I569" s="10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6">
      <c r="A570" s="10"/>
      <c r="B570" s="6"/>
      <c r="C570" s="6"/>
      <c r="D570" s="6"/>
      <c r="E570" s="10"/>
      <c r="F570" s="6"/>
      <c r="G570" s="6"/>
      <c r="H570" s="6"/>
      <c r="I570" s="10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6">
      <c r="A571" s="10"/>
      <c r="B571" s="6"/>
      <c r="C571" s="6"/>
      <c r="D571" s="6"/>
      <c r="E571" s="10"/>
      <c r="F571" s="6"/>
      <c r="G571" s="6"/>
      <c r="H571" s="6"/>
      <c r="I571" s="10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6">
      <c r="A572" s="10"/>
      <c r="B572" s="6"/>
      <c r="C572" s="6"/>
      <c r="D572" s="6"/>
      <c r="E572" s="10"/>
      <c r="F572" s="6"/>
      <c r="G572" s="6"/>
      <c r="H572" s="6"/>
      <c r="I572" s="10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6">
      <c r="A573" s="10"/>
      <c r="B573" s="6"/>
      <c r="C573" s="6"/>
      <c r="D573" s="6"/>
      <c r="E573" s="10"/>
      <c r="F573" s="6"/>
      <c r="G573" s="6"/>
      <c r="H573" s="6"/>
      <c r="I573" s="10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6">
      <c r="A574" s="10"/>
      <c r="B574" s="6"/>
      <c r="C574" s="6"/>
      <c r="D574" s="6"/>
      <c r="E574" s="10"/>
      <c r="F574" s="6"/>
      <c r="G574" s="6"/>
      <c r="H574" s="6"/>
      <c r="I574" s="10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6">
      <c r="A575" s="10"/>
      <c r="B575" s="6"/>
      <c r="C575" s="6"/>
      <c r="D575" s="6"/>
      <c r="E575" s="10"/>
      <c r="F575" s="6"/>
      <c r="G575" s="6"/>
      <c r="H575" s="6"/>
      <c r="I575" s="10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6">
      <c r="A576" s="10"/>
      <c r="B576" s="6"/>
      <c r="C576" s="6"/>
      <c r="D576" s="6"/>
      <c r="E576" s="10"/>
      <c r="F576" s="6"/>
      <c r="G576" s="6"/>
      <c r="H576" s="6"/>
      <c r="I576" s="10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6">
      <c r="A577" s="10"/>
      <c r="B577" s="6"/>
      <c r="C577" s="6"/>
      <c r="D577" s="6"/>
      <c r="E577" s="10"/>
      <c r="F577" s="6"/>
      <c r="G577" s="6"/>
      <c r="H577" s="6"/>
      <c r="I577" s="10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6">
      <c r="A578" s="10"/>
      <c r="B578" s="6"/>
      <c r="C578" s="6"/>
      <c r="D578" s="6"/>
      <c r="E578" s="10"/>
      <c r="F578" s="6"/>
      <c r="G578" s="6"/>
      <c r="H578" s="6"/>
      <c r="I578" s="10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6">
      <c r="A579" s="10"/>
      <c r="B579" s="6"/>
      <c r="C579" s="6"/>
      <c r="D579" s="6"/>
      <c r="E579" s="10"/>
      <c r="F579" s="6"/>
      <c r="G579" s="6"/>
      <c r="H579" s="6"/>
      <c r="I579" s="10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6">
      <c r="A580" s="10"/>
      <c r="B580" s="6"/>
      <c r="C580" s="6"/>
      <c r="D580" s="6"/>
      <c r="E580" s="10"/>
      <c r="F580" s="6"/>
      <c r="G580" s="6"/>
      <c r="H580" s="6"/>
      <c r="I580" s="10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6">
      <c r="A581" s="10"/>
      <c r="B581" s="6"/>
      <c r="C581" s="6"/>
      <c r="D581" s="6"/>
      <c r="E581" s="10"/>
      <c r="F581" s="6"/>
      <c r="G581" s="6"/>
      <c r="H581" s="6"/>
      <c r="I581" s="10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6">
      <c r="A582" s="10"/>
      <c r="B582" s="6"/>
      <c r="C582" s="6"/>
      <c r="D582" s="6"/>
      <c r="E582" s="10"/>
      <c r="F582" s="6"/>
      <c r="G582" s="6"/>
      <c r="H582" s="6"/>
      <c r="I582" s="10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6">
      <c r="A583" s="10"/>
      <c r="B583" s="6"/>
      <c r="C583" s="6"/>
      <c r="D583" s="6"/>
      <c r="E583" s="10"/>
      <c r="F583" s="6"/>
      <c r="G583" s="6"/>
      <c r="H583" s="6"/>
      <c r="I583" s="10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</row>
    <row r="584" spans="1:27" ht="16">
      <c r="A584" s="10"/>
      <c r="B584" s="6"/>
      <c r="C584" s="6"/>
      <c r="D584" s="6"/>
      <c r="E584" s="10"/>
      <c r="F584" s="6"/>
      <c r="G584" s="6"/>
      <c r="H584" s="6"/>
      <c r="I584" s="10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6">
      <c r="A585" s="10"/>
      <c r="B585" s="6"/>
      <c r="C585" s="6"/>
      <c r="D585" s="6"/>
      <c r="E585" s="10"/>
      <c r="F585" s="6"/>
      <c r="G585" s="6"/>
      <c r="H585" s="6"/>
      <c r="I585" s="10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6">
      <c r="A586" s="10"/>
      <c r="B586" s="6"/>
      <c r="C586" s="6"/>
      <c r="D586" s="6"/>
      <c r="E586" s="10"/>
      <c r="F586" s="6"/>
      <c r="G586" s="6"/>
      <c r="H586" s="6"/>
      <c r="I586" s="10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6">
      <c r="A587" s="10"/>
      <c r="B587" s="6"/>
      <c r="C587" s="6"/>
      <c r="D587" s="6"/>
      <c r="E587" s="10"/>
      <c r="F587" s="6"/>
      <c r="G587" s="6"/>
      <c r="H587" s="6"/>
      <c r="I587" s="10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6">
      <c r="A588" s="10"/>
      <c r="B588" s="6"/>
      <c r="C588" s="6"/>
      <c r="D588" s="6"/>
      <c r="E588" s="10"/>
      <c r="F588" s="6"/>
      <c r="G588" s="6"/>
      <c r="H588" s="6"/>
      <c r="I588" s="10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6">
      <c r="A589" s="10"/>
      <c r="B589" s="6"/>
      <c r="C589" s="6"/>
      <c r="D589" s="6"/>
      <c r="E589" s="10"/>
      <c r="F589" s="6"/>
      <c r="G589" s="6"/>
      <c r="H589" s="6"/>
      <c r="I589" s="10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6">
      <c r="A590" s="10"/>
      <c r="B590" s="6"/>
      <c r="C590" s="6"/>
      <c r="D590" s="6"/>
      <c r="E590" s="10"/>
      <c r="F590" s="6"/>
      <c r="G590" s="6"/>
      <c r="H590" s="6"/>
      <c r="I590" s="10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6">
      <c r="A591" s="10"/>
      <c r="B591" s="6"/>
      <c r="C591" s="6"/>
      <c r="D591" s="6"/>
      <c r="E591" s="10"/>
      <c r="F591" s="6"/>
      <c r="G591" s="6"/>
      <c r="H591" s="6"/>
      <c r="I591" s="10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6">
      <c r="A592" s="10"/>
      <c r="B592" s="6"/>
      <c r="C592" s="6"/>
      <c r="D592" s="6"/>
      <c r="E592" s="10"/>
      <c r="F592" s="6"/>
      <c r="G592" s="6"/>
      <c r="H592" s="6"/>
      <c r="I592" s="10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6">
      <c r="A593" s="10"/>
      <c r="B593" s="6"/>
      <c r="C593" s="6"/>
      <c r="D593" s="6"/>
      <c r="E593" s="10"/>
      <c r="F593" s="6"/>
      <c r="G593" s="6"/>
      <c r="H593" s="6"/>
      <c r="I593" s="10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6">
      <c r="A594" s="10"/>
      <c r="B594" s="6"/>
      <c r="C594" s="6"/>
      <c r="D594" s="6"/>
      <c r="E594" s="10"/>
      <c r="F594" s="6"/>
      <c r="G594" s="6"/>
      <c r="H594" s="6"/>
      <c r="I594" s="10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6">
      <c r="A595" s="10"/>
      <c r="B595" s="6"/>
      <c r="C595" s="6"/>
      <c r="D595" s="6"/>
      <c r="E595" s="10"/>
      <c r="F595" s="6"/>
      <c r="G595" s="6"/>
      <c r="H595" s="6"/>
      <c r="I595" s="10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6">
      <c r="A596" s="10"/>
      <c r="B596" s="6"/>
      <c r="C596" s="6"/>
      <c r="D596" s="6"/>
      <c r="E596" s="10"/>
      <c r="F596" s="6"/>
      <c r="G596" s="6"/>
      <c r="H596" s="6"/>
      <c r="I596" s="10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6">
      <c r="A597" s="10"/>
      <c r="B597" s="6"/>
      <c r="C597" s="6"/>
      <c r="D597" s="6"/>
      <c r="E597" s="10"/>
      <c r="F597" s="6"/>
      <c r="G597" s="6"/>
      <c r="H597" s="6"/>
      <c r="I597" s="10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6">
      <c r="A598" s="10"/>
      <c r="B598" s="6"/>
      <c r="C598" s="6"/>
      <c r="D598" s="6"/>
      <c r="E598" s="10"/>
      <c r="F598" s="6"/>
      <c r="G598" s="6"/>
      <c r="H598" s="6"/>
      <c r="I598" s="10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6">
      <c r="A599" s="10"/>
      <c r="B599" s="6"/>
      <c r="C599" s="6"/>
      <c r="D599" s="6"/>
      <c r="E599" s="10"/>
      <c r="F599" s="6"/>
      <c r="G599" s="6"/>
      <c r="H599" s="6"/>
      <c r="I599" s="10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6">
      <c r="A600" s="10"/>
      <c r="B600" s="6"/>
      <c r="C600" s="6"/>
      <c r="D600" s="6"/>
      <c r="E600" s="10"/>
      <c r="F600" s="6"/>
      <c r="G600" s="6"/>
      <c r="H600" s="6"/>
      <c r="I600" s="10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6">
      <c r="A601" s="10"/>
      <c r="B601" s="6"/>
      <c r="C601" s="6"/>
      <c r="D601" s="6"/>
      <c r="E601" s="10"/>
      <c r="F601" s="6"/>
      <c r="G601" s="6"/>
      <c r="H601" s="6"/>
      <c r="I601" s="10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6">
      <c r="A602" s="10"/>
      <c r="B602" s="6"/>
      <c r="C602" s="6"/>
      <c r="D602" s="6"/>
      <c r="E602" s="10"/>
      <c r="F602" s="6"/>
      <c r="G602" s="6"/>
      <c r="H602" s="6"/>
      <c r="I602" s="10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6">
      <c r="A603" s="10"/>
      <c r="B603" s="6"/>
      <c r="C603" s="6"/>
      <c r="D603" s="6"/>
      <c r="E603" s="10"/>
      <c r="F603" s="6"/>
      <c r="G603" s="6"/>
      <c r="H603" s="6"/>
      <c r="I603" s="10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6">
      <c r="A604" s="10"/>
      <c r="B604" s="6"/>
      <c r="C604" s="6"/>
      <c r="D604" s="6"/>
      <c r="E604" s="10"/>
      <c r="F604" s="6"/>
      <c r="G604" s="6"/>
      <c r="H604" s="6"/>
      <c r="I604" s="10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6">
      <c r="A605" s="10"/>
      <c r="B605" s="6"/>
      <c r="C605" s="6"/>
      <c r="D605" s="6"/>
      <c r="E605" s="10"/>
      <c r="F605" s="6"/>
      <c r="G605" s="6"/>
      <c r="H605" s="6"/>
      <c r="I605" s="10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6">
      <c r="A606" s="10"/>
      <c r="B606" s="6"/>
      <c r="C606" s="6"/>
      <c r="D606" s="6"/>
      <c r="E606" s="10"/>
      <c r="F606" s="6"/>
      <c r="G606" s="6"/>
      <c r="H606" s="6"/>
      <c r="I606" s="10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6">
      <c r="A607" s="10"/>
      <c r="B607" s="6"/>
      <c r="C607" s="6"/>
      <c r="D607" s="6"/>
      <c r="E607" s="10"/>
      <c r="F607" s="6"/>
      <c r="G607" s="6"/>
      <c r="H607" s="6"/>
      <c r="I607" s="10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6">
      <c r="A608" s="10"/>
      <c r="B608" s="6"/>
      <c r="C608" s="6"/>
      <c r="D608" s="6"/>
      <c r="E608" s="10"/>
      <c r="F608" s="6"/>
      <c r="G608" s="6"/>
      <c r="H608" s="6"/>
      <c r="I608" s="10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6">
      <c r="A609" s="10"/>
      <c r="B609" s="6"/>
      <c r="C609" s="6"/>
      <c r="D609" s="6"/>
      <c r="E609" s="10"/>
      <c r="F609" s="6"/>
      <c r="G609" s="6"/>
      <c r="H609" s="6"/>
      <c r="I609" s="10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6">
      <c r="A610" s="10"/>
      <c r="B610" s="6"/>
      <c r="C610" s="6"/>
      <c r="D610" s="6"/>
      <c r="E610" s="10"/>
      <c r="F610" s="6"/>
      <c r="G610" s="6"/>
      <c r="H610" s="6"/>
      <c r="I610" s="10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6">
      <c r="A611" s="10"/>
      <c r="B611" s="6"/>
      <c r="C611" s="6"/>
      <c r="D611" s="6"/>
      <c r="E611" s="10"/>
      <c r="F611" s="6"/>
      <c r="G611" s="6"/>
      <c r="H611" s="6"/>
      <c r="I611" s="10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6">
      <c r="A612" s="10"/>
      <c r="B612" s="6"/>
      <c r="C612" s="6"/>
      <c r="D612" s="6"/>
      <c r="E612" s="10"/>
      <c r="F612" s="6"/>
      <c r="G612" s="6"/>
      <c r="H612" s="6"/>
      <c r="I612" s="10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6">
      <c r="A613" s="10"/>
      <c r="B613" s="6"/>
      <c r="C613" s="6"/>
      <c r="D613" s="6"/>
      <c r="E613" s="10"/>
      <c r="F613" s="6"/>
      <c r="G613" s="6"/>
      <c r="H613" s="6"/>
      <c r="I613" s="10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6">
      <c r="A614" s="10"/>
      <c r="B614" s="6"/>
      <c r="C614" s="6"/>
      <c r="D614" s="6"/>
      <c r="E614" s="10"/>
      <c r="F614" s="6"/>
      <c r="G614" s="6"/>
      <c r="H614" s="6"/>
      <c r="I614" s="10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6">
      <c r="A615" s="10"/>
      <c r="B615" s="6"/>
      <c r="C615" s="6"/>
      <c r="D615" s="6"/>
      <c r="E615" s="10"/>
      <c r="F615" s="6"/>
      <c r="G615" s="6"/>
      <c r="H615" s="6"/>
      <c r="I615" s="10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6">
      <c r="A616" s="10"/>
      <c r="B616" s="6"/>
      <c r="C616" s="6"/>
      <c r="D616" s="6"/>
      <c r="E616" s="10"/>
      <c r="F616" s="6"/>
      <c r="G616" s="6"/>
      <c r="H616" s="6"/>
      <c r="I616" s="10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6">
      <c r="A617" s="10"/>
      <c r="B617" s="6"/>
      <c r="C617" s="6"/>
      <c r="D617" s="6"/>
      <c r="E617" s="10"/>
      <c r="F617" s="6"/>
      <c r="G617" s="6"/>
      <c r="H617" s="6"/>
      <c r="I617" s="10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6">
      <c r="A618" s="10"/>
      <c r="B618" s="6"/>
      <c r="C618" s="6"/>
      <c r="D618" s="6"/>
      <c r="E618" s="10"/>
      <c r="F618" s="6"/>
      <c r="G618" s="6"/>
      <c r="H618" s="6"/>
      <c r="I618" s="10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6">
      <c r="A619" s="10"/>
      <c r="B619" s="6"/>
      <c r="C619" s="6"/>
      <c r="D619" s="6"/>
      <c r="E619" s="10"/>
      <c r="F619" s="6"/>
      <c r="G619" s="6"/>
      <c r="H619" s="6"/>
      <c r="I619" s="10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6">
      <c r="A620" s="10"/>
      <c r="B620" s="6"/>
      <c r="C620" s="6"/>
      <c r="D620" s="6"/>
      <c r="E620" s="10"/>
      <c r="F620" s="6"/>
      <c r="G620" s="6"/>
      <c r="H620" s="6"/>
      <c r="I620" s="10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6">
      <c r="A621" s="10"/>
      <c r="B621" s="6"/>
      <c r="C621" s="6"/>
      <c r="D621" s="6"/>
      <c r="E621" s="10"/>
      <c r="F621" s="6"/>
      <c r="G621" s="6"/>
      <c r="H621" s="6"/>
      <c r="I621" s="10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6">
      <c r="A622" s="10"/>
      <c r="B622" s="6"/>
      <c r="C622" s="6"/>
      <c r="D622" s="6"/>
      <c r="E622" s="10"/>
      <c r="F622" s="6"/>
      <c r="G622" s="6"/>
      <c r="H622" s="6"/>
      <c r="I622" s="10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6">
      <c r="A623" s="10"/>
      <c r="B623" s="6"/>
      <c r="C623" s="6"/>
      <c r="D623" s="6"/>
      <c r="E623" s="10"/>
      <c r="F623" s="6"/>
      <c r="G623" s="6"/>
      <c r="H623" s="6"/>
      <c r="I623" s="10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6">
      <c r="A624" s="10"/>
      <c r="B624" s="6"/>
      <c r="C624" s="6"/>
      <c r="D624" s="6"/>
      <c r="E624" s="10"/>
      <c r="F624" s="6"/>
      <c r="G624" s="6"/>
      <c r="H624" s="6"/>
      <c r="I624" s="10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6">
      <c r="A625" s="10"/>
      <c r="B625" s="6"/>
      <c r="C625" s="6"/>
      <c r="D625" s="6"/>
      <c r="E625" s="10"/>
      <c r="F625" s="6"/>
      <c r="G625" s="6"/>
      <c r="H625" s="6"/>
      <c r="I625" s="10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6">
      <c r="A626" s="10"/>
      <c r="B626" s="6"/>
      <c r="C626" s="6"/>
      <c r="D626" s="6"/>
      <c r="E626" s="10"/>
      <c r="F626" s="6"/>
      <c r="G626" s="6"/>
      <c r="H626" s="6"/>
      <c r="I626" s="10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6">
      <c r="A627" s="10"/>
      <c r="B627" s="6"/>
      <c r="C627" s="6"/>
      <c r="D627" s="6"/>
      <c r="E627" s="10"/>
      <c r="F627" s="6"/>
      <c r="G627" s="6"/>
      <c r="H627" s="6"/>
      <c r="I627" s="10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6">
      <c r="A628" s="10"/>
      <c r="B628" s="6"/>
      <c r="C628" s="6"/>
      <c r="D628" s="6"/>
      <c r="E628" s="10"/>
      <c r="F628" s="6"/>
      <c r="G628" s="6"/>
      <c r="H628" s="6"/>
      <c r="I628" s="10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6">
      <c r="A629" s="10"/>
      <c r="B629" s="6"/>
      <c r="C629" s="6"/>
      <c r="D629" s="6"/>
      <c r="E629" s="10"/>
      <c r="F629" s="6"/>
      <c r="G629" s="6"/>
      <c r="H629" s="6"/>
      <c r="I629" s="10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6">
      <c r="A630" s="10"/>
      <c r="B630" s="6"/>
      <c r="C630" s="6"/>
      <c r="D630" s="6"/>
      <c r="E630" s="10"/>
      <c r="F630" s="6"/>
      <c r="G630" s="6"/>
      <c r="H630" s="6"/>
      <c r="I630" s="10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6">
      <c r="A631" s="10"/>
      <c r="B631" s="6"/>
      <c r="C631" s="6"/>
      <c r="D631" s="6"/>
      <c r="E631" s="10"/>
      <c r="F631" s="6"/>
      <c r="G631" s="6"/>
      <c r="H631" s="6"/>
      <c r="I631" s="10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6">
      <c r="A632" s="10"/>
      <c r="B632" s="6"/>
      <c r="C632" s="6"/>
      <c r="D632" s="6"/>
      <c r="E632" s="10"/>
      <c r="F632" s="6"/>
      <c r="G632" s="6"/>
      <c r="H632" s="6"/>
      <c r="I632" s="10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6">
      <c r="A633" s="10"/>
      <c r="B633" s="6"/>
      <c r="C633" s="6"/>
      <c r="D633" s="6"/>
      <c r="E633" s="10"/>
      <c r="F633" s="6"/>
      <c r="G633" s="6"/>
      <c r="H633" s="6"/>
      <c r="I633" s="10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6">
      <c r="A634" s="10"/>
      <c r="B634" s="6"/>
      <c r="C634" s="6"/>
      <c r="D634" s="6"/>
      <c r="E634" s="10"/>
      <c r="F634" s="6"/>
      <c r="G634" s="6"/>
      <c r="H634" s="6"/>
      <c r="I634" s="10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6">
      <c r="A635" s="10"/>
      <c r="B635" s="6"/>
      <c r="C635" s="6"/>
      <c r="D635" s="6"/>
      <c r="E635" s="10"/>
      <c r="F635" s="6"/>
      <c r="G635" s="6"/>
      <c r="H635" s="6"/>
      <c r="I635" s="10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6">
      <c r="A636" s="10"/>
      <c r="B636" s="6"/>
      <c r="C636" s="6"/>
      <c r="D636" s="6"/>
      <c r="E636" s="10"/>
      <c r="F636" s="6"/>
      <c r="G636" s="6"/>
      <c r="H636" s="6"/>
      <c r="I636" s="10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6">
      <c r="A637" s="10"/>
      <c r="B637" s="6"/>
      <c r="C637" s="6"/>
      <c r="D637" s="6"/>
      <c r="E637" s="10"/>
      <c r="F637" s="6"/>
      <c r="G637" s="6"/>
      <c r="H637" s="6"/>
      <c r="I637" s="10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6">
      <c r="A638" s="10"/>
      <c r="B638" s="6"/>
      <c r="C638" s="6"/>
      <c r="D638" s="6"/>
      <c r="E638" s="10"/>
      <c r="F638" s="6"/>
      <c r="G638" s="6"/>
      <c r="H638" s="6"/>
      <c r="I638" s="10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6">
      <c r="A639" s="10"/>
      <c r="B639" s="6"/>
      <c r="C639" s="6"/>
      <c r="D639" s="6"/>
      <c r="E639" s="10"/>
      <c r="F639" s="6"/>
      <c r="G639" s="6"/>
      <c r="H639" s="6"/>
      <c r="I639" s="10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6">
      <c r="A640" s="10"/>
      <c r="B640" s="6"/>
      <c r="C640" s="6"/>
      <c r="D640" s="6"/>
      <c r="E640" s="10"/>
      <c r="F640" s="6"/>
      <c r="G640" s="6"/>
      <c r="H640" s="6"/>
      <c r="I640" s="10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6">
      <c r="A641" s="10"/>
      <c r="B641" s="6"/>
      <c r="C641" s="6"/>
      <c r="D641" s="6"/>
      <c r="E641" s="10"/>
      <c r="F641" s="6"/>
      <c r="G641" s="6"/>
      <c r="H641" s="6"/>
      <c r="I641" s="10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6">
      <c r="A642" s="10"/>
      <c r="B642" s="6"/>
      <c r="C642" s="6"/>
      <c r="D642" s="6"/>
      <c r="E642" s="10"/>
      <c r="F642" s="6"/>
      <c r="G642" s="6"/>
      <c r="H642" s="6"/>
      <c r="I642" s="10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6">
      <c r="A643" s="10"/>
      <c r="B643" s="6"/>
      <c r="C643" s="6"/>
      <c r="D643" s="6"/>
      <c r="E643" s="10"/>
      <c r="F643" s="6"/>
      <c r="G643" s="6"/>
      <c r="H643" s="6"/>
      <c r="I643" s="10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6">
      <c r="A644" s="10"/>
      <c r="B644" s="6"/>
      <c r="C644" s="6"/>
      <c r="D644" s="6"/>
      <c r="E644" s="10"/>
      <c r="F644" s="6"/>
      <c r="G644" s="6"/>
      <c r="H644" s="6"/>
      <c r="I644" s="10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6">
      <c r="A645" s="10"/>
      <c r="B645" s="6"/>
      <c r="C645" s="6"/>
      <c r="D645" s="6"/>
      <c r="E645" s="10"/>
      <c r="F645" s="6"/>
      <c r="G645" s="6"/>
      <c r="H645" s="6"/>
      <c r="I645" s="10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6">
      <c r="A646" s="10"/>
      <c r="B646" s="6"/>
      <c r="C646" s="6"/>
      <c r="D646" s="6"/>
      <c r="E646" s="10"/>
      <c r="F646" s="6"/>
      <c r="G646" s="6"/>
      <c r="H646" s="6"/>
      <c r="I646" s="10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6">
      <c r="A647" s="10"/>
      <c r="B647" s="6"/>
      <c r="C647" s="6"/>
      <c r="D647" s="6"/>
      <c r="E647" s="10"/>
      <c r="F647" s="6"/>
      <c r="G647" s="6"/>
      <c r="H647" s="6"/>
      <c r="I647" s="10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6">
      <c r="A648" s="10"/>
      <c r="B648" s="6"/>
      <c r="C648" s="6"/>
      <c r="D648" s="6"/>
      <c r="E648" s="10"/>
      <c r="F648" s="6"/>
      <c r="G648" s="6"/>
      <c r="H648" s="6"/>
      <c r="I648" s="10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6">
      <c r="A649" s="10"/>
      <c r="B649" s="6"/>
      <c r="C649" s="6"/>
      <c r="D649" s="6"/>
      <c r="E649" s="10"/>
      <c r="F649" s="6"/>
      <c r="G649" s="6"/>
      <c r="H649" s="6"/>
      <c r="I649" s="10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6">
      <c r="A650" s="10"/>
      <c r="B650" s="6"/>
      <c r="C650" s="6"/>
      <c r="D650" s="6"/>
      <c r="E650" s="10"/>
      <c r="F650" s="6"/>
      <c r="G650" s="6"/>
      <c r="H650" s="6"/>
      <c r="I650" s="10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6">
      <c r="A651" s="10"/>
      <c r="B651" s="6"/>
      <c r="C651" s="6"/>
      <c r="D651" s="6"/>
      <c r="E651" s="10"/>
      <c r="F651" s="6"/>
      <c r="G651" s="6"/>
      <c r="H651" s="6"/>
      <c r="I651" s="10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6">
      <c r="A652" s="10"/>
      <c r="B652" s="6"/>
      <c r="C652" s="6"/>
      <c r="D652" s="6"/>
      <c r="E652" s="10"/>
      <c r="F652" s="6"/>
      <c r="G652" s="6"/>
      <c r="H652" s="6"/>
      <c r="I652" s="10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6">
      <c r="A653" s="10"/>
      <c r="B653" s="6"/>
      <c r="C653" s="6"/>
      <c r="D653" s="6"/>
      <c r="E653" s="10"/>
      <c r="F653" s="6"/>
      <c r="G653" s="6"/>
      <c r="H653" s="6"/>
      <c r="I653" s="10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6">
      <c r="A654" s="10"/>
      <c r="B654" s="6"/>
      <c r="C654" s="6"/>
      <c r="D654" s="6"/>
      <c r="E654" s="10"/>
      <c r="F654" s="6"/>
      <c r="G654" s="6"/>
      <c r="H654" s="6"/>
      <c r="I654" s="10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6">
      <c r="A655" s="10"/>
      <c r="B655" s="6"/>
      <c r="C655" s="6"/>
      <c r="D655" s="6"/>
      <c r="E655" s="10"/>
      <c r="F655" s="6"/>
      <c r="G655" s="6"/>
      <c r="H655" s="6"/>
      <c r="I655" s="10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6">
      <c r="A656" s="10"/>
      <c r="B656" s="6"/>
      <c r="C656" s="6"/>
      <c r="D656" s="6"/>
      <c r="E656" s="10"/>
      <c r="F656" s="6"/>
      <c r="G656" s="6"/>
      <c r="H656" s="6"/>
      <c r="I656" s="10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6">
      <c r="A657" s="10"/>
      <c r="B657" s="6"/>
      <c r="C657" s="6"/>
      <c r="D657" s="6"/>
      <c r="E657" s="10"/>
      <c r="F657" s="6"/>
      <c r="G657" s="6"/>
      <c r="H657" s="6"/>
      <c r="I657" s="10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6">
      <c r="A658" s="10"/>
      <c r="B658" s="6"/>
      <c r="C658" s="6"/>
      <c r="D658" s="6"/>
      <c r="E658" s="10"/>
      <c r="F658" s="6"/>
      <c r="G658" s="6"/>
      <c r="H658" s="6"/>
      <c r="I658" s="10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6">
      <c r="A659" s="10"/>
      <c r="B659" s="6"/>
      <c r="C659" s="6"/>
      <c r="D659" s="6"/>
      <c r="E659" s="10"/>
      <c r="F659" s="6"/>
      <c r="G659" s="6"/>
      <c r="H659" s="6"/>
      <c r="I659" s="10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6">
      <c r="A660" s="10"/>
      <c r="B660" s="6"/>
      <c r="C660" s="6"/>
      <c r="D660" s="6"/>
      <c r="E660" s="10"/>
      <c r="F660" s="6"/>
      <c r="G660" s="6"/>
      <c r="H660" s="6"/>
      <c r="I660" s="10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6">
      <c r="A661" s="10"/>
      <c r="B661" s="6"/>
      <c r="C661" s="6"/>
      <c r="D661" s="6"/>
      <c r="E661" s="10"/>
      <c r="F661" s="6"/>
      <c r="G661" s="6"/>
      <c r="H661" s="6"/>
      <c r="I661" s="10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6">
      <c r="A662" s="10"/>
      <c r="B662" s="6"/>
      <c r="C662" s="6"/>
      <c r="D662" s="6"/>
      <c r="E662" s="10"/>
      <c r="F662" s="6"/>
      <c r="G662" s="6"/>
      <c r="H662" s="6"/>
      <c r="I662" s="10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6">
      <c r="A663" s="10"/>
      <c r="B663" s="6"/>
      <c r="C663" s="6"/>
      <c r="D663" s="6"/>
      <c r="E663" s="10"/>
      <c r="F663" s="6"/>
      <c r="G663" s="6"/>
      <c r="H663" s="6"/>
      <c r="I663" s="10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6">
      <c r="A664" s="10"/>
      <c r="B664" s="6"/>
      <c r="C664" s="6"/>
      <c r="D664" s="6"/>
      <c r="E664" s="10"/>
      <c r="F664" s="6"/>
      <c r="G664" s="6"/>
      <c r="H664" s="6"/>
      <c r="I664" s="10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6">
      <c r="A665" s="10"/>
      <c r="B665" s="6"/>
      <c r="C665" s="6"/>
      <c r="D665" s="6"/>
      <c r="E665" s="10"/>
      <c r="F665" s="6"/>
      <c r="G665" s="6"/>
      <c r="H665" s="6"/>
      <c r="I665" s="10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6">
      <c r="A666" s="10"/>
      <c r="B666" s="6"/>
      <c r="C666" s="6"/>
      <c r="D666" s="6"/>
      <c r="E666" s="10"/>
      <c r="F666" s="6"/>
      <c r="G666" s="6"/>
      <c r="H666" s="6"/>
      <c r="I666" s="10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6">
      <c r="A667" s="10"/>
      <c r="B667" s="6"/>
      <c r="C667" s="6"/>
      <c r="D667" s="6"/>
      <c r="E667" s="10"/>
      <c r="F667" s="6"/>
      <c r="G667" s="6"/>
      <c r="H667" s="6"/>
      <c r="I667" s="10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6">
      <c r="A668" s="10"/>
      <c r="B668" s="6"/>
      <c r="C668" s="6"/>
      <c r="D668" s="6"/>
      <c r="E668" s="10"/>
      <c r="F668" s="6"/>
      <c r="G668" s="6"/>
      <c r="H668" s="6"/>
      <c r="I668" s="10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6">
      <c r="A669" s="10"/>
      <c r="B669" s="6"/>
      <c r="C669" s="6"/>
      <c r="D669" s="6"/>
      <c r="E669" s="10"/>
      <c r="F669" s="6"/>
      <c r="G669" s="6"/>
      <c r="H669" s="6"/>
      <c r="I669" s="10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6">
      <c r="A670" s="10"/>
      <c r="B670" s="6"/>
      <c r="C670" s="6"/>
      <c r="D670" s="6"/>
      <c r="E670" s="10"/>
      <c r="F670" s="6"/>
      <c r="G670" s="6"/>
      <c r="H670" s="6"/>
      <c r="I670" s="10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6">
      <c r="A671" s="10"/>
      <c r="B671" s="6"/>
      <c r="C671" s="6"/>
      <c r="D671" s="6"/>
      <c r="E671" s="10"/>
      <c r="F671" s="6"/>
      <c r="G671" s="6"/>
      <c r="H671" s="6"/>
      <c r="I671" s="10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6">
      <c r="A672" s="10"/>
      <c r="B672" s="6"/>
      <c r="C672" s="6"/>
      <c r="D672" s="6"/>
      <c r="E672" s="10"/>
      <c r="F672" s="6"/>
      <c r="G672" s="6"/>
      <c r="H672" s="6"/>
      <c r="I672" s="10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6">
      <c r="A673" s="10"/>
      <c r="B673" s="6"/>
      <c r="C673" s="6"/>
      <c r="D673" s="6"/>
      <c r="E673" s="10"/>
      <c r="F673" s="6"/>
      <c r="G673" s="6"/>
      <c r="H673" s="6"/>
      <c r="I673" s="10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6">
      <c r="A674" s="10"/>
      <c r="B674" s="6"/>
      <c r="C674" s="6"/>
      <c r="D674" s="6"/>
      <c r="E674" s="10"/>
      <c r="F674" s="6"/>
      <c r="G674" s="6"/>
      <c r="H674" s="6"/>
      <c r="I674" s="10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6">
      <c r="A675" s="10"/>
      <c r="B675" s="6"/>
      <c r="C675" s="6"/>
      <c r="D675" s="6"/>
      <c r="E675" s="10"/>
      <c r="F675" s="6"/>
      <c r="G675" s="6"/>
      <c r="H675" s="6"/>
      <c r="I675" s="10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6">
      <c r="A676" s="10"/>
      <c r="B676" s="6"/>
      <c r="C676" s="6"/>
      <c r="D676" s="6"/>
      <c r="E676" s="10"/>
      <c r="F676" s="6"/>
      <c r="G676" s="6"/>
      <c r="H676" s="6"/>
      <c r="I676" s="10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6">
      <c r="A677" s="10"/>
      <c r="B677" s="6"/>
      <c r="C677" s="6"/>
      <c r="D677" s="6"/>
      <c r="E677" s="10"/>
      <c r="F677" s="6"/>
      <c r="G677" s="6"/>
      <c r="H677" s="6"/>
      <c r="I677" s="10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6">
      <c r="A678" s="10"/>
      <c r="B678" s="6"/>
      <c r="C678" s="6"/>
      <c r="D678" s="6"/>
      <c r="E678" s="10"/>
      <c r="F678" s="6"/>
      <c r="G678" s="6"/>
      <c r="H678" s="6"/>
      <c r="I678" s="10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6">
      <c r="A679" s="10"/>
      <c r="B679" s="6"/>
      <c r="C679" s="6"/>
      <c r="D679" s="6"/>
      <c r="E679" s="10"/>
      <c r="F679" s="6"/>
      <c r="G679" s="6"/>
      <c r="H679" s="6"/>
      <c r="I679" s="10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6">
      <c r="A680" s="10"/>
      <c r="B680" s="6"/>
      <c r="C680" s="6"/>
      <c r="D680" s="6"/>
      <c r="E680" s="10"/>
      <c r="F680" s="6"/>
      <c r="G680" s="6"/>
      <c r="H680" s="6"/>
      <c r="I680" s="10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6">
      <c r="A681" s="10"/>
      <c r="B681" s="6"/>
      <c r="C681" s="6"/>
      <c r="D681" s="6"/>
      <c r="E681" s="10"/>
      <c r="F681" s="6"/>
      <c r="G681" s="6"/>
      <c r="H681" s="6"/>
      <c r="I681" s="10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6">
      <c r="A682" s="10"/>
      <c r="B682" s="6"/>
      <c r="C682" s="6"/>
      <c r="D682" s="6"/>
      <c r="E682" s="10"/>
      <c r="F682" s="6"/>
      <c r="G682" s="6"/>
      <c r="H682" s="6"/>
      <c r="I682" s="10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6">
      <c r="A683" s="10"/>
      <c r="B683" s="6"/>
      <c r="C683" s="6"/>
      <c r="D683" s="6"/>
      <c r="E683" s="10"/>
      <c r="F683" s="6"/>
      <c r="G683" s="6"/>
      <c r="H683" s="6"/>
      <c r="I683" s="10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6">
      <c r="A684" s="10"/>
      <c r="B684" s="6"/>
      <c r="C684" s="6"/>
      <c r="D684" s="6"/>
      <c r="E684" s="10"/>
      <c r="F684" s="6"/>
      <c r="G684" s="6"/>
      <c r="H684" s="6"/>
      <c r="I684" s="10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6">
      <c r="A685" s="10"/>
      <c r="B685" s="6"/>
      <c r="C685" s="6"/>
      <c r="D685" s="6"/>
      <c r="E685" s="10"/>
      <c r="F685" s="6"/>
      <c r="G685" s="6"/>
      <c r="H685" s="6"/>
      <c r="I685" s="10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6">
      <c r="A686" s="10"/>
      <c r="B686" s="6"/>
      <c r="C686" s="6"/>
      <c r="D686" s="6"/>
      <c r="E686" s="10"/>
      <c r="F686" s="6"/>
      <c r="G686" s="6"/>
      <c r="H686" s="6"/>
      <c r="I686" s="10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6">
      <c r="A687" s="10"/>
      <c r="B687" s="6"/>
      <c r="C687" s="6"/>
      <c r="D687" s="6"/>
      <c r="E687" s="10"/>
      <c r="F687" s="6"/>
      <c r="G687" s="6"/>
      <c r="H687" s="6"/>
      <c r="I687" s="10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6">
      <c r="A688" s="10"/>
      <c r="B688" s="6"/>
      <c r="C688" s="6"/>
      <c r="D688" s="6"/>
      <c r="E688" s="10"/>
      <c r="F688" s="6"/>
      <c r="G688" s="6"/>
      <c r="H688" s="6"/>
      <c r="I688" s="10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6">
      <c r="A689" s="10"/>
      <c r="B689" s="6"/>
      <c r="C689" s="6"/>
      <c r="D689" s="6"/>
      <c r="E689" s="10"/>
      <c r="F689" s="6"/>
      <c r="G689" s="6"/>
      <c r="H689" s="6"/>
      <c r="I689" s="10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6">
      <c r="A690" s="10"/>
      <c r="B690" s="6"/>
      <c r="C690" s="6"/>
      <c r="D690" s="6"/>
      <c r="E690" s="10"/>
      <c r="F690" s="6"/>
      <c r="G690" s="6"/>
      <c r="H690" s="6"/>
      <c r="I690" s="10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6">
      <c r="A691" s="10"/>
      <c r="B691" s="6"/>
      <c r="C691" s="6"/>
      <c r="D691" s="6"/>
      <c r="E691" s="10"/>
      <c r="F691" s="6"/>
      <c r="G691" s="6"/>
      <c r="H691" s="6"/>
      <c r="I691" s="10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6">
      <c r="A692" s="10"/>
      <c r="B692" s="6"/>
      <c r="C692" s="6"/>
      <c r="D692" s="6"/>
      <c r="E692" s="10"/>
      <c r="F692" s="6"/>
      <c r="G692" s="6"/>
      <c r="H692" s="6"/>
      <c r="I692" s="10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6">
      <c r="A693" s="10"/>
      <c r="B693" s="6"/>
      <c r="C693" s="6"/>
      <c r="D693" s="6"/>
      <c r="E693" s="10"/>
      <c r="F693" s="6"/>
      <c r="G693" s="6"/>
      <c r="H693" s="6"/>
      <c r="I693" s="10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6">
      <c r="A694" s="10"/>
      <c r="B694" s="6"/>
      <c r="C694" s="6"/>
      <c r="D694" s="6"/>
      <c r="E694" s="10"/>
      <c r="F694" s="6"/>
      <c r="G694" s="6"/>
      <c r="H694" s="6"/>
      <c r="I694" s="10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6">
      <c r="A695" s="10"/>
      <c r="B695" s="6"/>
      <c r="C695" s="6"/>
      <c r="D695" s="6"/>
      <c r="E695" s="10"/>
      <c r="F695" s="6"/>
      <c r="G695" s="6"/>
      <c r="H695" s="6"/>
      <c r="I695" s="10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6">
      <c r="A696" s="10"/>
      <c r="B696" s="6"/>
      <c r="C696" s="6"/>
      <c r="D696" s="6"/>
      <c r="E696" s="10"/>
      <c r="F696" s="6"/>
      <c r="G696" s="6"/>
      <c r="H696" s="6"/>
      <c r="I696" s="10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6">
      <c r="A697" s="10"/>
      <c r="B697" s="6"/>
      <c r="C697" s="6"/>
      <c r="D697" s="6"/>
      <c r="E697" s="10"/>
      <c r="F697" s="6"/>
      <c r="G697" s="6"/>
      <c r="H697" s="6"/>
      <c r="I697" s="10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6">
      <c r="A698" s="10"/>
      <c r="B698" s="6"/>
      <c r="C698" s="6"/>
      <c r="D698" s="6"/>
      <c r="E698" s="10"/>
      <c r="F698" s="6"/>
      <c r="G698" s="6"/>
      <c r="H698" s="6"/>
      <c r="I698" s="10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6">
      <c r="A699" s="10"/>
      <c r="B699" s="6"/>
      <c r="C699" s="6"/>
      <c r="D699" s="6"/>
      <c r="E699" s="10"/>
      <c r="F699" s="6"/>
      <c r="G699" s="6"/>
      <c r="H699" s="6"/>
      <c r="I699" s="10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6">
      <c r="A700" s="10"/>
      <c r="B700" s="6"/>
      <c r="C700" s="6"/>
      <c r="D700" s="6"/>
      <c r="E700" s="10"/>
      <c r="F700" s="6"/>
      <c r="G700" s="6"/>
      <c r="H700" s="6"/>
      <c r="I700" s="10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6">
      <c r="A701" s="10"/>
      <c r="B701" s="6"/>
      <c r="C701" s="6"/>
      <c r="D701" s="6"/>
      <c r="E701" s="10"/>
      <c r="F701" s="6"/>
      <c r="G701" s="6"/>
      <c r="H701" s="6"/>
      <c r="I701" s="10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6">
      <c r="A702" s="10"/>
      <c r="B702" s="6"/>
      <c r="C702" s="6"/>
      <c r="D702" s="6"/>
      <c r="E702" s="10"/>
      <c r="F702" s="6"/>
      <c r="G702" s="6"/>
      <c r="H702" s="6"/>
      <c r="I702" s="10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6">
      <c r="A703" s="10"/>
      <c r="B703" s="6"/>
      <c r="C703" s="6"/>
      <c r="D703" s="6"/>
      <c r="E703" s="10"/>
      <c r="F703" s="6"/>
      <c r="G703" s="6"/>
      <c r="H703" s="6"/>
      <c r="I703" s="10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6">
      <c r="A704" s="10"/>
      <c r="B704" s="6"/>
      <c r="C704" s="6"/>
      <c r="D704" s="6"/>
      <c r="E704" s="10"/>
      <c r="F704" s="6"/>
      <c r="G704" s="6"/>
      <c r="H704" s="6"/>
      <c r="I704" s="10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6">
      <c r="A705" s="10"/>
      <c r="B705" s="6"/>
      <c r="C705" s="6"/>
      <c r="D705" s="6"/>
      <c r="E705" s="10"/>
      <c r="F705" s="6"/>
      <c r="G705" s="6"/>
      <c r="H705" s="6"/>
      <c r="I705" s="10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6">
      <c r="A706" s="10"/>
      <c r="B706" s="6"/>
      <c r="C706" s="6"/>
      <c r="D706" s="6"/>
      <c r="E706" s="10"/>
      <c r="F706" s="6"/>
      <c r="G706" s="6"/>
      <c r="H706" s="6"/>
      <c r="I706" s="10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6">
      <c r="A707" s="10"/>
      <c r="B707" s="6"/>
      <c r="C707" s="6"/>
      <c r="D707" s="6"/>
      <c r="E707" s="10"/>
      <c r="F707" s="6"/>
      <c r="G707" s="6"/>
      <c r="H707" s="6"/>
      <c r="I707" s="10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6">
      <c r="A708" s="10"/>
      <c r="B708" s="6"/>
      <c r="C708" s="6"/>
      <c r="D708" s="6"/>
      <c r="E708" s="10"/>
      <c r="F708" s="6"/>
      <c r="G708" s="6"/>
      <c r="H708" s="6"/>
      <c r="I708" s="10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6">
      <c r="A709" s="10"/>
      <c r="B709" s="6"/>
      <c r="C709" s="6"/>
      <c r="D709" s="6"/>
      <c r="E709" s="10"/>
      <c r="F709" s="6"/>
      <c r="G709" s="6"/>
      <c r="H709" s="6"/>
      <c r="I709" s="10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6">
      <c r="A710" s="10"/>
      <c r="B710" s="6"/>
      <c r="C710" s="6"/>
      <c r="D710" s="6"/>
      <c r="E710" s="10"/>
      <c r="F710" s="6"/>
      <c r="G710" s="6"/>
      <c r="H710" s="6"/>
      <c r="I710" s="10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6">
      <c r="A711" s="10"/>
      <c r="B711" s="6"/>
      <c r="C711" s="6"/>
      <c r="D711" s="6"/>
      <c r="E711" s="10"/>
      <c r="F711" s="6"/>
      <c r="G711" s="6"/>
      <c r="H711" s="6"/>
      <c r="I711" s="10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6">
      <c r="A712" s="10"/>
      <c r="B712" s="6"/>
      <c r="C712" s="6"/>
      <c r="D712" s="6"/>
      <c r="E712" s="10"/>
      <c r="F712" s="6"/>
      <c r="G712" s="6"/>
      <c r="H712" s="6"/>
      <c r="I712" s="10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6">
      <c r="A713" s="10"/>
      <c r="B713" s="6"/>
      <c r="C713" s="6"/>
      <c r="D713" s="6"/>
      <c r="E713" s="10"/>
      <c r="F713" s="6"/>
      <c r="G713" s="6"/>
      <c r="H713" s="6"/>
      <c r="I713" s="10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6">
      <c r="A714" s="10"/>
      <c r="B714" s="6"/>
      <c r="C714" s="6"/>
      <c r="D714" s="6"/>
      <c r="E714" s="10"/>
      <c r="F714" s="6"/>
      <c r="G714" s="6"/>
      <c r="H714" s="6"/>
      <c r="I714" s="10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6">
      <c r="A715" s="10"/>
      <c r="B715" s="6"/>
      <c r="C715" s="6"/>
      <c r="D715" s="6"/>
      <c r="E715" s="10"/>
      <c r="F715" s="6"/>
      <c r="G715" s="6"/>
      <c r="H715" s="6"/>
      <c r="I715" s="10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6">
      <c r="A716" s="10"/>
      <c r="B716" s="6"/>
      <c r="C716" s="6"/>
      <c r="D716" s="6"/>
      <c r="E716" s="10"/>
      <c r="F716" s="6"/>
      <c r="G716" s="6"/>
      <c r="H716" s="6"/>
      <c r="I716" s="10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6">
      <c r="A717" s="10"/>
      <c r="B717" s="6"/>
      <c r="C717" s="6"/>
      <c r="D717" s="6"/>
      <c r="E717" s="10"/>
      <c r="F717" s="6"/>
      <c r="G717" s="6"/>
      <c r="H717" s="6"/>
      <c r="I717" s="10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6">
      <c r="A718" s="10"/>
      <c r="B718" s="6"/>
      <c r="C718" s="6"/>
      <c r="D718" s="6"/>
      <c r="E718" s="10"/>
      <c r="F718" s="6"/>
      <c r="G718" s="6"/>
      <c r="H718" s="6"/>
      <c r="I718" s="10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6">
      <c r="A719" s="10"/>
      <c r="B719" s="6"/>
      <c r="C719" s="6"/>
      <c r="D719" s="6"/>
      <c r="E719" s="10"/>
      <c r="F719" s="6"/>
      <c r="G719" s="6"/>
      <c r="H719" s="6"/>
      <c r="I719" s="10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6">
      <c r="A720" s="10"/>
      <c r="B720" s="6"/>
      <c r="C720" s="6"/>
      <c r="D720" s="6"/>
      <c r="E720" s="10"/>
      <c r="F720" s="6"/>
      <c r="G720" s="6"/>
      <c r="H720" s="6"/>
      <c r="I720" s="10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6">
      <c r="A721" s="10"/>
      <c r="B721" s="6"/>
      <c r="C721" s="6"/>
      <c r="D721" s="6"/>
      <c r="E721" s="10"/>
      <c r="F721" s="6"/>
      <c r="G721" s="6"/>
      <c r="H721" s="6"/>
      <c r="I721" s="10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6">
      <c r="A722" s="10"/>
      <c r="B722" s="6"/>
      <c r="C722" s="6"/>
      <c r="D722" s="6"/>
      <c r="E722" s="10"/>
      <c r="F722" s="6"/>
      <c r="G722" s="6"/>
      <c r="H722" s="6"/>
      <c r="I722" s="10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6">
      <c r="A723" s="10"/>
      <c r="B723" s="6"/>
      <c r="C723" s="6"/>
      <c r="D723" s="6"/>
      <c r="E723" s="10"/>
      <c r="F723" s="6"/>
      <c r="G723" s="6"/>
      <c r="H723" s="6"/>
      <c r="I723" s="10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6">
      <c r="A724" s="10"/>
      <c r="B724" s="6"/>
      <c r="C724" s="6"/>
      <c r="D724" s="6"/>
      <c r="E724" s="10"/>
      <c r="F724" s="6"/>
      <c r="G724" s="6"/>
      <c r="H724" s="6"/>
      <c r="I724" s="10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6">
      <c r="A725" s="10"/>
      <c r="B725" s="6"/>
      <c r="C725" s="6"/>
      <c r="D725" s="6"/>
      <c r="E725" s="10"/>
      <c r="F725" s="6"/>
      <c r="G725" s="6"/>
      <c r="H725" s="6"/>
      <c r="I725" s="10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6">
      <c r="A726" s="10"/>
      <c r="B726" s="6"/>
      <c r="C726" s="6"/>
      <c r="D726" s="6"/>
      <c r="E726" s="10"/>
      <c r="F726" s="6"/>
      <c r="G726" s="6"/>
      <c r="H726" s="6"/>
      <c r="I726" s="10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6">
      <c r="A727" s="10"/>
      <c r="B727" s="6"/>
      <c r="C727" s="6"/>
      <c r="D727" s="6"/>
      <c r="E727" s="10"/>
      <c r="F727" s="6"/>
      <c r="G727" s="6"/>
      <c r="H727" s="6"/>
      <c r="I727" s="10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6">
      <c r="A728" s="10"/>
      <c r="B728" s="6"/>
      <c r="C728" s="6"/>
      <c r="D728" s="6"/>
      <c r="E728" s="10"/>
      <c r="F728" s="6"/>
      <c r="G728" s="6"/>
      <c r="H728" s="6"/>
      <c r="I728" s="10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6">
      <c r="A729" s="10"/>
      <c r="B729" s="6"/>
      <c r="C729" s="6"/>
      <c r="D729" s="6"/>
      <c r="E729" s="10"/>
      <c r="F729" s="6"/>
      <c r="G729" s="6"/>
      <c r="H729" s="6"/>
      <c r="I729" s="10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6">
      <c r="A730" s="10"/>
      <c r="B730" s="6"/>
      <c r="C730" s="6"/>
      <c r="D730" s="6"/>
      <c r="E730" s="10"/>
      <c r="F730" s="6"/>
      <c r="G730" s="6"/>
      <c r="H730" s="6"/>
      <c r="I730" s="10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6">
      <c r="A731" s="10"/>
      <c r="B731" s="6"/>
      <c r="C731" s="6"/>
      <c r="D731" s="6"/>
      <c r="E731" s="10"/>
      <c r="F731" s="6"/>
      <c r="G731" s="6"/>
      <c r="H731" s="6"/>
      <c r="I731" s="10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6">
      <c r="A732" s="10"/>
      <c r="B732" s="6"/>
      <c r="C732" s="6"/>
      <c r="D732" s="6"/>
      <c r="E732" s="10"/>
      <c r="F732" s="6"/>
      <c r="G732" s="6"/>
      <c r="H732" s="6"/>
      <c r="I732" s="10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6">
      <c r="A733" s="10"/>
      <c r="B733" s="6"/>
      <c r="C733" s="6"/>
      <c r="D733" s="6"/>
      <c r="E733" s="10"/>
      <c r="F733" s="6"/>
      <c r="G733" s="6"/>
      <c r="H733" s="6"/>
      <c r="I733" s="10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6">
      <c r="A734" s="10"/>
      <c r="B734" s="6"/>
      <c r="C734" s="6"/>
      <c r="D734" s="6"/>
      <c r="E734" s="10"/>
      <c r="F734" s="6"/>
      <c r="G734" s="6"/>
      <c r="H734" s="6"/>
      <c r="I734" s="10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6">
      <c r="A735" s="10"/>
      <c r="B735" s="6"/>
      <c r="C735" s="6"/>
      <c r="D735" s="6"/>
      <c r="E735" s="10"/>
      <c r="F735" s="6"/>
      <c r="G735" s="6"/>
      <c r="H735" s="6"/>
      <c r="I735" s="10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6">
      <c r="A736" s="10"/>
      <c r="B736" s="6"/>
      <c r="C736" s="6"/>
      <c r="D736" s="6"/>
      <c r="E736" s="10"/>
      <c r="F736" s="6"/>
      <c r="G736" s="6"/>
      <c r="H736" s="6"/>
      <c r="I736" s="10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6">
      <c r="A737" s="10"/>
      <c r="B737" s="6"/>
      <c r="C737" s="6"/>
      <c r="D737" s="6"/>
      <c r="E737" s="10"/>
      <c r="F737" s="6"/>
      <c r="G737" s="6"/>
      <c r="H737" s="6"/>
      <c r="I737" s="10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6">
      <c r="A738" s="10"/>
      <c r="B738" s="6"/>
      <c r="C738" s="6"/>
      <c r="D738" s="6"/>
      <c r="E738" s="10"/>
      <c r="F738" s="6"/>
      <c r="G738" s="6"/>
      <c r="H738" s="6"/>
      <c r="I738" s="10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6">
      <c r="A739" s="10"/>
      <c r="B739" s="6"/>
      <c r="C739" s="6"/>
      <c r="D739" s="6"/>
      <c r="E739" s="10"/>
      <c r="F739" s="6"/>
      <c r="G739" s="6"/>
      <c r="H739" s="6"/>
      <c r="I739" s="10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6">
      <c r="A740" s="10"/>
      <c r="B740" s="6"/>
      <c r="C740" s="6"/>
      <c r="D740" s="6"/>
      <c r="E740" s="10"/>
      <c r="F740" s="6"/>
      <c r="G740" s="6"/>
      <c r="H740" s="6"/>
      <c r="I740" s="10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6">
      <c r="A741" s="10"/>
      <c r="B741" s="6"/>
      <c r="C741" s="6"/>
      <c r="D741" s="6"/>
      <c r="E741" s="10"/>
      <c r="F741" s="6"/>
      <c r="G741" s="6"/>
      <c r="H741" s="6"/>
      <c r="I741" s="10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6">
      <c r="A742" s="10"/>
      <c r="B742" s="6"/>
      <c r="C742" s="6"/>
      <c r="D742" s="6"/>
      <c r="E742" s="10"/>
      <c r="F742" s="6"/>
      <c r="G742" s="6"/>
      <c r="H742" s="6"/>
      <c r="I742" s="10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6">
      <c r="A743" s="10"/>
      <c r="B743" s="6"/>
      <c r="C743" s="6"/>
      <c r="D743" s="6"/>
      <c r="E743" s="10"/>
      <c r="F743" s="6"/>
      <c r="G743" s="6"/>
      <c r="H743" s="6"/>
      <c r="I743" s="10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6">
      <c r="A744" s="10"/>
      <c r="B744" s="6"/>
      <c r="C744" s="6"/>
      <c r="D744" s="6"/>
      <c r="E744" s="10"/>
      <c r="F744" s="6"/>
      <c r="G744" s="6"/>
      <c r="H744" s="6"/>
      <c r="I744" s="10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6">
      <c r="A745" s="10"/>
      <c r="B745" s="6"/>
      <c r="C745" s="6"/>
      <c r="D745" s="6"/>
      <c r="E745" s="10"/>
      <c r="F745" s="6"/>
      <c r="G745" s="6"/>
      <c r="H745" s="6"/>
      <c r="I745" s="10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6">
      <c r="A746" s="10"/>
      <c r="B746" s="6"/>
      <c r="C746" s="6"/>
      <c r="D746" s="6"/>
      <c r="E746" s="10"/>
      <c r="F746" s="6"/>
      <c r="G746" s="6"/>
      <c r="H746" s="6"/>
      <c r="I746" s="10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6">
      <c r="A747" s="10"/>
      <c r="B747" s="6"/>
      <c r="C747" s="6"/>
      <c r="D747" s="6"/>
      <c r="E747" s="10"/>
      <c r="F747" s="6"/>
      <c r="G747" s="6"/>
      <c r="H747" s="6"/>
      <c r="I747" s="10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6">
      <c r="A748" s="10"/>
      <c r="B748" s="6"/>
      <c r="C748" s="6"/>
      <c r="D748" s="6"/>
      <c r="E748" s="10"/>
      <c r="F748" s="6"/>
      <c r="G748" s="6"/>
      <c r="H748" s="6"/>
      <c r="I748" s="10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6">
      <c r="A749" s="10"/>
      <c r="B749" s="6"/>
      <c r="C749" s="6"/>
      <c r="D749" s="6"/>
      <c r="E749" s="10"/>
      <c r="F749" s="6"/>
      <c r="G749" s="6"/>
      <c r="H749" s="6"/>
      <c r="I749" s="10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6">
      <c r="A750" s="10"/>
      <c r="B750" s="6"/>
      <c r="C750" s="6"/>
      <c r="D750" s="6"/>
      <c r="E750" s="10"/>
      <c r="F750" s="6"/>
      <c r="G750" s="6"/>
      <c r="H750" s="6"/>
      <c r="I750" s="10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6">
      <c r="A751" s="10"/>
      <c r="B751" s="6"/>
      <c r="C751" s="6"/>
      <c r="D751" s="6"/>
      <c r="E751" s="10"/>
      <c r="F751" s="6"/>
      <c r="G751" s="6"/>
      <c r="H751" s="6"/>
      <c r="I751" s="10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6">
      <c r="A752" s="10"/>
      <c r="B752" s="6"/>
      <c r="C752" s="6"/>
      <c r="D752" s="6"/>
      <c r="E752" s="10"/>
      <c r="F752" s="6"/>
      <c r="G752" s="6"/>
      <c r="H752" s="6"/>
      <c r="I752" s="10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6">
      <c r="A753" s="10"/>
      <c r="B753" s="6"/>
      <c r="C753" s="6"/>
      <c r="D753" s="6"/>
      <c r="E753" s="10"/>
      <c r="F753" s="6"/>
      <c r="G753" s="6"/>
      <c r="H753" s="6"/>
      <c r="I753" s="10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6">
      <c r="A754" s="10"/>
      <c r="B754" s="6"/>
      <c r="C754" s="6"/>
      <c r="D754" s="6"/>
      <c r="E754" s="10"/>
      <c r="F754" s="6"/>
      <c r="G754" s="6"/>
      <c r="H754" s="6"/>
      <c r="I754" s="10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6">
      <c r="A755" s="10"/>
      <c r="B755" s="6"/>
      <c r="C755" s="6"/>
      <c r="D755" s="6"/>
      <c r="E755" s="10"/>
      <c r="F755" s="6"/>
      <c r="G755" s="6"/>
      <c r="H755" s="6"/>
      <c r="I755" s="10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6">
      <c r="A756" s="10"/>
      <c r="B756" s="6"/>
      <c r="C756" s="6"/>
      <c r="D756" s="6"/>
      <c r="E756" s="10"/>
      <c r="F756" s="6"/>
      <c r="G756" s="6"/>
      <c r="H756" s="6"/>
      <c r="I756" s="10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6">
      <c r="A757" s="10"/>
      <c r="B757" s="6"/>
      <c r="C757" s="6"/>
      <c r="D757" s="6"/>
      <c r="E757" s="10"/>
      <c r="F757" s="6"/>
      <c r="G757" s="6"/>
      <c r="H757" s="6"/>
      <c r="I757" s="10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6">
      <c r="A758" s="10"/>
      <c r="B758" s="6"/>
      <c r="C758" s="6"/>
      <c r="D758" s="6"/>
      <c r="E758" s="10"/>
      <c r="F758" s="6"/>
      <c r="G758" s="6"/>
      <c r="H758" s="6"/>
      <c r="I758" s="10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6">
      <c r="A759" s="10"/>
      <c r="B759" s="6"/>
      <c r="C759" s="6"/>
      <c r="D759" s="6"/>
      <c r="E759" s="10"/>
      <c r="F759" s="6"/>
      <c r="G759" s="6"/>
      <c r="H759" s="6"/>
      <c r="I759" s="10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6">
      <c r="A760" s="10"/>
      <c r="B760" s="6"/>
      <c r="C760" s="6"/>
      <c r="D760" s="6"/>
      <c r="E760" s="10"/>
      <c r="F760" s="6"/>
      <c r="G760" s="6"/>
      <c r="H760" s="6"/>
      <c r="I760" s="10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6">
      <c r="A761" s="10"/>
      <c r="B761" s="6"/>
      <c r="C761" s="6"/>
      <c r="D761" s="6"/>
      <c r="E761" s="10"/>
      <c r="F761" s="6"/>
      <c r="G761" s="6"/>
      <c r="H761" s="6"/>
      <c r="I761" s="10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6">
      <c r="A762" s="10"/>
      <c r="B762" s="6"/>
      <c r="C762" s="6"/>
      <c r="D762" s="6"/>
      <c r="E762" s="10"/>
      <c r="F762" s="6"/>
      <c r="G762" s="6"/>
      <c r="H762" s="6"/>
      <c r="I762" s="10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6">
      <c r="A763" s="10"/>
      <c r="B763" s="6"/>
      <c r="C763" s="6"/>
      <c r="D763" s="6"/>
      <c r="E763" s="10"/>
      <c r="F763" s="6"/>
      <c r="G763" s="6"/>
      <c r="H763" s="6"/>
      <c r="I763" s="10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6">
      <c r="A764" s="10"/>
      <c r="B764" s="6"/>
      <c r="C764" s="6"/>
      <c r="D764" s="6"/>
      <c r="E764" s="10"/>
      <c r="F764" s="6"/>
      <c r="G764" s="6"/>
      <c r="H764" s="6"/>
      <c r="I764" s="10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6">
      <c r="A765" s="10"/>
      <c r="B765" s="6"/>
      <c r="C765" s="6"/>
      <c r="D765" s="6"/>
      <c r="E765" s="10"/>
      <c r="F765" s="6"/>
      <c r="G765" s="6"/>
      <c r="H765" s="6"/>
      <c r="I765" s="10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6">
      <c r="A766" s="10"/>
      <c r="B766" s="6"/>
      <c r="C766" s="6"/>
      <c r="D766" s="6"/>
      <c r="E766" s="10"/>
      <c r="F766" s="6"/>
      <c r="G766" s="6"/>
      <c r="H766" s="6"/>
      <c r="I766" s="10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6">
      <c r="A767" s="10"/>
      <c r="B767" s="6"/>
      <c r="C767" s="6"/>
      <c r="D767" s="6"/>
      <c r="E767" s="10"/>
      <c r="F767" s="6"/>
      <c r="G767" s="6"/>
      <c r="H767" s="6"/>
      <c r="I767" s="10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6">
      <c r="A768" s="10"/>
      <c r="B768" s="6"/>
      <c r="C768" s="6"/>
      <c r="D768" s="6"/>
      <c r="E768" s="10"/>
      <c r="F768" s="6"/>
      <c r="G768" s="6"/>
      <c r="H768" s="6"/>
      <c r="I768" s="10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6">
      <c r="A769" s="10"/>
      <c r="B769" s="6"/>
      <c r="C769" s="6"/>
      <c r="D769" s="6"/>
      <c r="E769" s="10"/>
      <c r="F769" s="6"/>
      <c r="G769" s="6"/>
      <c r="H769" s="6"/>
      <c r="I769" s="10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6">
      <c r="A770" s="10"/>
      <c r="B770" s="6"/>
      <c r="C770" s="6"/>
      <c r="D770" s="6"/>
      <c r="E770" s="10"/>
      <c r="F770" s="6"/>
      <c r="G770" s="6"/>
      <c r="H770" s="6"/>
      <c r="I770" s="10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6">
      <c r="A771" s="10"/>
      <c r="B771" s="6"/>
      <c r="C771" s="6"/>
      <c r="D771" s="6"/>
      <c r="E771" s="10"/>
      <c r="F771" s="6"/>
      <c r="G771" s="6"/>
      <c r="H771" s="6"/>
      <c r="I771" s="10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6">
      <c r="A772" s="10"/>
      <c r="B772" s="6"/>
      <c r="C772" s="6"/>
      <c r="D772" s="6"/>
      <c r="E772" s="10"/>
      <c r="F772" s="6"/>
      <c r="G772" s="6"/>
      <c r="H772" s="6"/>
      <c r="I772" s="10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6">
      <c r="A773" s="10"/>
      <c r="B773" s="6"/>
      <c r="C773" s="6"/>
      <c r="D773" s="6"/>
      <c r="E773" s="10"/>
      <c r="F773" s="6"/>
      <c r="G773" s="6"/>
      <c r="H773" s="6"/>
      <c r="I773" s="10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6">
      <c r="A774" s="10"/>
      <c r="B774" s="6"/>
      <c r="C774" s="6"/>
      <c r="D774" s="6"/>
      <c r="E774" s="10"/>
      <c r="F774" s="6"/>
      <c r="G774" s="6"/>
      <c r="H774" s="6"/>
      <c r="I774" s="10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6">
      <c r="A775" s="10"/>
      <c r="B775" s="6"/>
      <c r="C775" s="6"/>
      <c r="D775" s="6"/>
      <c r="E775" s="10"/>
      <c r="F775" s="6"/>
      <c r="G775" s="6"/>
      <c r="H775" s="6"/>
      <c r="I775" s="10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6">
      <c r="A776" s="10"/>
      <c r="B776" s="6"/>
      <c r="C776" s="6"/>
      <c r="D776" s="6"/>
      <c r="E776" s="10"/>
      <c r="F776" s="6"/>
      <c r="G776" s="6"/>
      <c r="H776" s="6"/>
      <c r="I776" s="10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6">
      <c r="A777" s="10"/>
      <c r="B777" s="6"/>
      <c r="C777" s="6"/>
      <c r="D777" s="6"/>
      <c r="E777" s="10"/>
      <c r="F777" s="6"/>
      <c r="G777" s="6"/>
      <c r="H777" s="6"/>
      <c r="I777" s="10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6">
      <c r="A778" s="10"/>
      <c r="B778" s="6"/>
      <c r="C778" s="6"/>
      <c r="D778" s="6"/>
      <c r="E778" s="10"/>
      <c r="F778" s="6"/>
      <c r="G778" s="6"/>
      <c r="H778" s="6"/>
      <c r="I778" s="10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6">
      <c r="A779" s="10"/>
      <c r="B779" s="6"/>
      <c r="C779" s="6"/>
      <c r="D779" s="6"/>
      <c r="E779" s="10"/>
      <c r="F779" s="6"/>
      <c r="G779" s="6"/>
      <c r="H779" s="6"/>
      <c r="I779" s="10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6">
      <c r="A780" s="10"/>
      <c r="B780" s="6"/>
      <c r="C780" s="6"/>
      <c r="D780" s="6"/>
      <c r="E780" s="10"/>
      <c r="F780" s="6"/>
      <c r="G780" s="6"/>
      <c r="H780" s="6"/>
      <c r="I780" s="10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6">
      <c r="A781" s="10"/>
      <c r="B781" s="6"/>
      <c r="C781" s="6"/>
      <c r="D781" s="6"/>
      <c r="E781" s="10"/>
      <c r="F781" s="6"/>
      <c r="G781" s="6"/>
      <c r="H781" s="6"/>
      <c r="I781" s="10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6">
      <c r="A782" s="10"/>
      <c r="B782" s="6"/>
      <c r="C782" s="6"/>
      <c r="D782" s="6"/>
      <c r="E782" s="10"/>
      <c r="F782" s="6"/>
      <c r="G782" s="6"/>
      <c r="H782" s="6"/>
      <c r="I782" s="10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6">
      <c r="A783" s="10"/>
      <c r="B783" s="6"/>
      <c r="C783" s="6"/>
      <c r="D783" s="6"/>
      <c r="E783" s="10"/>
      <c r="F783" s="6"/>
      <c r="G783" s="6"/>
      <c r="H783" s="6"/>
      <c r="I783" s="10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6">
      <c r="A784" s="10"/>
      <c r="B784" s="6"/>
      <c r="C784" s="6"/>
      <c r="D784" s="6"/>
      <c r="E784" s="10"/>
      <c r="F784" s="6"/>
      <c r="G784" s="6"/>
      <c r="H784" s="6"/>
      <c r="I784" s="10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6">
      <c r="A785" s="10"/>
      <c r="B785" s="6"/>
      <c r="C785" s="6"/>
      <c r="D785" s="6"/>
      <c r="E785" s="10"/>
      <c r="F785" s="6"/>
      <c r="G785" s="6"/>
      <c r="H785" s="6"/>
      <c r="I785" s="10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6">
      <c r="A786" s="10"/>
      <c r="B786" s="6"/>
      <c r="C786" s="6"/>
      <c r="D786" s="6"/>
      <c r="E786" s="10"/>
      <c r="F786" s="6"/>
      <c r="G786" s="6"/>
      <c r="H786" s="6"/>
      <c r="I786" s="10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6">
      <c r="A787" s="10"/>
      <c r="B787" s="6"/>
      <c r="C787" s="6"/>
      <c r="D787" s="6"/>
      <c r="E787" s="10"/>
      <c r="F787" s="6"/>
      <c r="G787" s="6"/>
      <c r="H787" s="6"/>
      <c r="I787" s="10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6">
      <c r="A788" s="10"/>
      <c r="B788" s="6"/>
      <c r="C788" s="6"/>
      <c r="D788" s="6"/>
      <c r="E788" s="10"/>
      <c r="F788" s="6"/>
      <c r="G788" s="6"/>
      <c r="H788" s="6"/>
      <c r="I788" s="10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6">
      <c r="A789" s="10"/>
      <c r="B789" s="6"/>
      <c r="C789" s="6"/>
      <c r="D789" s="6"/>
      <c r="E789" s="10"/>
      <c r="F789" s="6"/>
      <c r="G789" s="6"/>
      <c r="H789" s="6"/>
      <c r="I789" s="10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6">
      <c r="A790" s="10"/>
      <c r="B790" s="6"/>
      <c r="C790" s="6"/>
      <c r="D790" s="6"/>
      <c r="E790" s="10"/>
      <c r="F790" s="6"/>
      <c r="G790" s="6"/>
      <c r="H790" s="6"/>
      <c r="I790" s="10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6">
      <c r="A791" s="10"/>
      <c r="B791" s="6"/>
      <c r="C791" s="6"/>
      <c r="D791" s="6"/>
      <c r="E791" s="10"/>
      <c r="F791" s="6"/>
      <c r="G791" s="6"/>
      <c r="H791" s="6"/>
      <c r="I791" s="10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6">
      <c r="A792" s="10"/>
      <c r="B792" s="6"/>
      <c r="C792" s="6"/>
      <c r="D792" s="6"/>
      <c r="E792" s="10"/>
      <c r="F792" s="6"/>
      <c r="G792" s="6"/>
      <c r="H792" s="6"/>
      <c r="I792" s="10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6">
      <c r="A793" s="10"/>
      <c r="B793" s="6"/>
      <c r="C793" s="6"/>
      <c r="D793" s="6"/>
      <c r="E793" s="10"/>
      <c r="F793" s="6"/>
      <c r="G793" s="6"/>
      <c r="H793" s="6"/>
      <c r="I793" s="10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6">
      <c r="A794" s="10"/>
      <c r="B794" s="6"/>
      <c r="C794" s="6"/>
      <c r="D794" s="6"/>
      <c r="E794" s="10"/>
      <c r="F794" s="6"/>
      <c r="G794" s="6"/>
      <c r="H794" s="6"/>
      <c r="I794" s="10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6">
      <c r="A795" s="10"/>
      <c r="B795" s="6"/>
      <c r="C795" s="6"/>
      <c r="D795" s="6"/>
      <c r="E795" s="10"/>
      <c r="F795" s="6"/>
      <c r="G795" s="6"/>
      <c r="H795" s="6"/>
      <c r="I795" s="10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6">
      <c r="A796" s="10"/>
      <c r="B796" s="6"/>
      <c r="C796" s="6"/>
      <c r="D796" s="6"/>
      <c r="E796" s="10"/>
      <c r="F796" s="6"/>
      <c r="G796" s="6"/>
      <c r="H796" s="6"/>
      <c r="I796" s="10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6">
      <c r="A797" s="10"/>
      <c r="B797" s="6"/>
      <c r="C797" s="6"/>
      <c r="D797" s="6"/>
      <c r="E797" s="10"/>
      <c r="F797" s="6"/>
      <c r="G797" s="6"/>
      <c r="H797" s="6"/>
      <c r="I797" s="10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6">
      <c r="A798" s="10"/>
      <c r="B798" s="6"/>
      <c r="C798" s="6"/>
      <c r="D798" s="6"/>
      <c r="E798" s="10"/>
      <c r="F798" s="6"/>
      <c r="G798" s="6"/>
      <c r="H798" s="6"/>
      <c r="I798" s="10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6">
      <c r="A799" s="10"/>
      <c r="B799" s="6"/>
      <c r="C799" s="6"/>
      <c r="D799" s="6"/>
      <c r="E799" s="10"/>
      <c r="F799" s="6"/>
      <c r="G799" s="6"/>
      <c r="H799" s="6"/>
      <c r="I799" s="10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6">
      <c r="A800" s="10"/>
      <c r="B800" s="6"/>
      <c r="C800" s="6"/>
      <c r="D800" s="6"/>
      <c r="E800" s="10"/>
      <c r="F800" s="6"/>
      <c r="G800" s="6"/>
      <c r="H800" s="6"/>
      <c r="I800" s="10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6">
      <c r="A801" s="10"/>
      <c r="B801" s="6"/>
      <c r="C801" s="6"/>
      <c r="D801" s="6"/>
      <c r="E801" s="10"/>
      <c r="F801" s="6"/>
      <c r="G801" s="6"/>
      <c r="H801" s="6"/>
      <c r="I801" s="10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6">
      <c r="A802" s="10"/>
      <c r="B802" s="6"/>
      <c r="C802" s="6"/>
      <c r="D802" s="6"/>
      <c r="E802" s="10"/>
      <c r="F802" s="6"/>
      <c r="G802" s="6"/>
      <c r="H802" s="6"/>
      <c r="I802" s="10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6">
      <c r="A803" s="10"/>
      <c r="B803" s="6"/>
      <c r="C803" s="6"/>
      <c r="D803" s="6"/>
      <c r="E803" s="10"/>
      <c r="F803" s="6"/>
      <c r="G803" s="6"/>
      <c r="H803" s="6"/>
      <c r="I803" s="10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6">
      <c r="A804" s="10"/>
      <c r="B804" s="6"/>
      <c r="C804" s="6"/>
      <c r="D804" s="6"/>
      <c r="E804" s="10"/>
      <c r="F804" s="6"/>
      <c r="G804" s="6"/>
      <c r="H804" s="6"/>
      <c r="I804" s="10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6">
      <c r="A805" s="10"/>
      <c r="B805" s="6"/>
      <c r="C805" s="6"/>
      <c r="D805" s="6"/>
      <c r="E805" s="10"/>
      <c r="F805" s="6"/>
      <c r="G805" s="6"/>
      <c r="H805" s="6"/>
      <c r="I805" s="10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6">
      <c r="A806" s="10"/>
      <c r="B806" s="6"/>
      <c r="C806" s="6"/>
      <c r="D806" s="6"/>
      <c r="E806" s="10"/>
      <c r="F806" s="6"/>
      <c r="G806" s="6"/>
      <c r="H806" s="6"/>
      <c r="I806" s="10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6">
      <c r="A807" s="10"/>
      <c r="B807" s="6"/>
      <c r="C807" s="6"/>
      <c r="D807" s="6"/>
      <c r="E807" s="10"/>
      <c r="F807" s="6"/>
      <c r="G807" s="6"/>
      <c r="H807" s="6"/>
      <c r="I807" s="10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6">
      <c r="A808" s="10"/>
      <c r="B808" s="6"/>
      <c r="C808" s="6"/>
      <c r="D808" s="6"/>
      <c r="E808" s="10"/>
      <c r="F808" s="6"/>
      <c r="G808" s="6"/>
      <c r="H808" s="6"/>
      <c r="I808" s="10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6">
      <c r="A809" s="10"/>
      <c r="B809" s="6"/>
      <c r="C809" s="6"/>
      <c r="D809" s="6"/>
      <c r="E809" s="10"/>
      <c r="F809" s="6"/>
      <c r="G809" s="6"/>
      <c r="H809" s="6"/>
      <c r="I809" s="10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6">
      <c r="A810" s="10"/>
      <c r="B810" s="6"/>
      <c r="C810" s="6"/>
      <c r="D810" s="6"/>
      <c r="E810" s="10"/>
      <c r="F810" s="6"/>
      <c r="G810" s="6"/>
      <c r="H810" s="6"/>
      <c r="I810" s="10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6">
      <c r="A811" s="10"/>
      <c r="B811" s="6"/>
      <c r="C811" s="6"/>
      <c r="D811" s="6"/>
      <c r="E811" s="10"/>
      <c r="F811" s="6"/>
      <c r="G811" s="6"/>
      <c r="H811" s="6"/>
      <c r="I811" s="10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6">
      <c r="A812" s="10"/>
      <c r="B812" s="6"/>
      <c r="C812" s="6"/>
      <c r="D812" s="6"/>
      <c r="E812" s="10"/>
      <c r="F812" s="6"/>
      <c r="G812" s="6"/>
      <c r="H812" s="6"/>
      <c r="I812" s="10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6">
      <c r="A813" s="10"/>
      <c r="B813" s="6"/>
      <c r="C813" s="6"/>
      <c r="D813" s="6"/>
      <c r="E813" s="10"/>
      <c r="F813" s="6"/>
      <c r="G813" s="6"/>
      <c r="H813" s="6"/>
      <c r="I813" s="10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6">
      <c r="A814" s="10"/>
      <c r="B814" s="6"/>
      <c r="C814" s="6"/>
      <c r="D814" s="6"/>
      <c r="E814" s="10"/>
      <c r="F814" s="6"/>
      <c r="G814" s="6"/>
      <c r="H814" s="6"/>
      <c r="I814" s="10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6">
      <c r="A815" s="10"/>
      <c r="B815" s="6"/>
      <c r="C815" s="6"/>
      <c r="D815" s="6"/>
      <c r="E815" s="10"/>
      <c r="F815" s="6"/>
      <c r="G815" s="6"/>
      <c r="H815" s="6"/>
      <c r="I815" s="10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6">
      <c r="A816" s="10"/>
      <c r="B816" s="6"/>
      <c r="C816" s="6"/>
      <c r="D816" s="6"/>
      <c r="E816" s="10"/>
      <c r="F816" s="6"/>
      <c r="G816" s="6"/>
      <c r="H816" s="6"/>
      <c r="I816" s="10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6">
      <c r="A817" s="10"/>
      <c r="B817" s="6"/>
      <c r="C817" s="6"/>
      <c r="D817" s="6"/>
      <c r="E817" s="10"/>
      <c r="F817" s="6"/>
      <c r="G817" s="6"/>
      <c r="H817" s="6"/>
      <c r="I817" s="10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6">
      <c r="A818" s="10"/>
      <c r="B818" s="6"/>
      <c r="C818" s="6"/>
      <c r="D818" s="6"/>
      <c r="E818" s="10"/>
      <c r="F818" s="6"/>
      <c r="G818" s="6"/>
      <c r="H818" s="6"/>
      <c r="I818" s="10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6">
      <c r="A819" s="10"/>
      <c r="B819" s="6"/>
      <c r="C819" s="6"/>
      <c r="D819" s="6"/>
      <c r="E819" s="10"/>
      <c r="F819" s="6"/>
      <c r="G819" s="6"/>
      <c r="H819" s="6"/>
      <c r="I819" s="10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6">
      <c r="A820" s="10"/>
      <c r="B820" s="6"/>
      <c r="C820" s="6"/>
      <c r="D820" s="6"/>
      <c r="E820" s="10"/>
      <c r="F820" s="6"/>
      <c r="G820" s="6"/>
      <c r="H820" s="6"/>
      <c r="I820" s="10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6">
      <c r="A821" s="10"/>
      <c r="B821" s="6"/>
      <c r="C821" s="6"/>
      <c r="D821" s="6"/>
      <c r="E821" s="10"/>
      <c r="F821" s="6"/>
      <c r="G821" s="6"/>
      <c r="H821" s="6"/>
      <c r="I821" s="10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6">
      <c r="A822" s="10"/>
      <c r="B822" s="6"/>
      <c r="C822" s="6"/>
      <c r="D822" s="6"/>
      <c r="E822" s="10"/>
      <c r="F822" s="6"/>
      <c r="G822" s="6"/>
      <c r="H822" s="6"/>
      <c r="I822" s="10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6">
      <c r="A823" s="10"/>
      <c r="B823" s="6"/>
      <c r="C823" s="6"/>
      <c r="D823" s="6"/>
      <c r="E823" s="10"/>
      <c r="F823" s="6"/>
      <c r="G823" s="6"/>
      <c r="H823" s="6"/>
      <c r="I823" s="10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6">
      <c r="A824" s="10"/>
      <c r="B824" s="6"/>
      <c r="C824" s="6"/>
      <c r="D824" s="6"/>
      <c r="E824" s="10"/>
      <c r="F824" s="6"/>
      <c r="G824" s="6"/>
      <c r="H824" s="6"/>
      <c r="I824" s="10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6">
      <c r="A825" s="10"/>
      <c r="B825" s="6"/>
      <c r="C825" s="6"/>
      <c r="D825" s="6"/>
      <c r="E825" s="10"/>
      <c r="F825" s="6"/>
      <c r="G825" s="6"/>
      <c r="H825" s="6"/>
      <c r="I825" s="10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6">
      <c r="A826" s="10"/>
      <c r="B826" s="6"/>
      <c r="C826" s="6"/>
      <c r="D826" s="6"/>
      <c r="E826" s="10"/>
      <c r="F826" s="6"/>
      <c r="G826" s="6"/>
      <c r="H826" s="6"/>
      <c r="I826" s="10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6">
      <c r="A827" s="10"/>
      <c r="B827" s="6"/>
      <c r="C827" s="6"/>
      <c r="D827" s="6"/>
      <c r="E827" s="10"/>
      <c r="F827" s="6"/>
      <c r="G827" s="6"/>
      <c r="H827" s="6"/>
      <c r="I827" s="10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6">
      <c r="A828" s="10"/>
      <c r="B828" s="6"/>
      <c r="C828" s="6"/>
      <c r="D828" s="6"/>
      <c r="E828" s="10"/>
      <c r="F828" s="6"/>
      <c r="G828" s="6"/>
      <c r="H828" s="6"/>
      <c r="I828" s="10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6">
      <c r="A829" s="10"/>
      <c r="B829" s="6"/>
      <c r="C829" s="6"/>
      <c r="D829" s="6"/>
      <c r="E829" s="10"/>
      <c r="F829" s="6"/>
      <c r="G829" s="6"/>
      <c r="H829" s="6"/>
      <c r="I829" s="10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6">
      <c r="A830" s="10"/>
      <c r="B830" s="6"/>
      <c r="C830" s="6"/>
      <c r="D830" s="6"/>
      <c r="E830" s="10"/>
      <c r="F830" s="6"/>
      <c r="G830" s="6"/>
      <c r="H830" s="6"/>
      <c r="I830" s="10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6">
      <c r="A831" s="10"/>
      <c r="B831" s="6"/>
      <c r="C831" s="6"/>
      <c r="D831" s="6"/>
      <c r="E831" s="10"/>
      <c r="F831" s="6"/>
      <c r="G831" s="6"/>
      <c r="H831" s="6"/>
      <c r="I831" s="10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6">
      <c r="A832" s="10"/>
      <c r="B832" s="6"/>
      <c r="C832" s="6"/>
      <c r="D832" s="6"/>
      <c r="E832" s="10"/>
      <c r="F832" s="6"/>
      <c r="G832" s="6"/>
      <c r="H832" s="6"/>
      <c r="I832" s="10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6">
      <c r="A833" s="10"/>
      <c r="B833" s="6"/>
      <c r="C833" s="6"/>
      <c r="D833" s="6"/>
      <c r="E833" s="10"/>
      <c r="F833" s="6"/>
      <c r="G833" s="6"/>
      <c r="H833" s="6"/>
      <c r="I833" s="10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6">
      <c r="A834" s="10"/>
      <c r="B834" s="6"/>
      <c r="C834" s="6"/>
      <c r="D834" s="6"/>
      <c r="E834" s="10"/>
      <c r="F834" s="6"/>
      <c r="G834" s="6"/>
      <c r="H834" s="6"/>
      <c r="I834" s="10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6">
      <c r="A835" s="10"/>
      <c r="B835" s="6"/>
      <c r="C835" s="6"/>
      <c r="D835" s="6"/>
      <c r="E835" s="10"/>
      <c r="F835" s="6"/>
      <c r="G835" s="6"/>
      <c r="H835" s="6"/>
      <c r="I835" s="10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6">
      <c r="A836" s="10"/>
      <c r="B836" s="6"/>
      <c r="C836" s="6"/>
      <c r="D836" s="6"/>
      <c r="E836" s="10"/>
      <c r="F836" s="6"/>
      <c r="G836" s="6"/>
      <c r="H836" s="6"/>
      <c r="I836" s="10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6">
      <c r="A837" s="10"/>
      <c r="B837" s="6"/>
      <c r="C837" s="6"/>
      <c r="D837" s="6"/>
      <c r="E837" s="10"/>
      <c r="F837" s="6"/>
      <c r="G837" s="6"/>
      <c r="H837" s="6"/>
      <c r="I837" s="10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6">
      <c r="A838" s="10"/>
      <c r="B838" s="6"/>
      <c r="C838" s="6"/>
      <c r="D838" s="6"/>
      <c r="E838" s="10"/>
      <c r="F838" s="6"/>
      <c r="G838" s="6"/>
      <c r="H838" s="6"/>
      <c r="I838" s="10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6">
      <c r="A839" s="10"/>
      <c r="B839" s="6"/>
      <c r="C839" s="6"/>
      <c r="D839" s="6"/>
      <c r="E839" s="10"/>
      <c r="F839" s="6"/>
      <c r="G839" s="6"/>
      <c r="H839" s="6"/>
      <c r="I839" s="10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6">
      <c r="A840" s="10"/>
      <c r="B840" s="6"/>
      <c r="C840" s="6"/>
      <c r="D840" s="6"/>
      <c r="E840" s="10"/>
      <c r="F840" s="6"/>
      <c r="G840" s="6"/>
      <c r="H840" s="6"/>
      <c r="I840" s="10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6">
      <c r="A841" s="10"/>
      <c r="B841" s="6"/>
      <c r="C841" s="6"/>
      <c r="D841" s="6"/>
      <c r="E841" s="10"/>
      <c r="F841" s="6"/>
      <c r="G841" s="6"/>
      <c r="H841" s="6"/>
      <c r="I841" s="10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6">
      <c r="A842" s="10"/>
      <c r="B842" s="6"/>
      <c r="C842" s="6"/>
      <c r="D842" s="6"/>
      <c r="E842" s="10"/>
      <c r="F842" s="6"/>
      <c r="G842" s="6"/>
      <c r="H842" s="6"/>
      <c r="I842" s="10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6">
      <c r="A843" s="10"/>
      <c r="B843" s="6"/>
      <c r="C843" s="6"/>
      <c r="D843" s="6"/>
      <c r="E843" s="10"/>
      <c r="F843" s="6"/>
      <c r="G843" s="6"/>
      <c r="H843" s="6"/>
      <c r="I843" s="10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6">
      <c r="A844" s="10"/>
      <c r="B844" s="6"/>
      <c r="C844" s="6"/>
      <c r="D844" s="6"/>
      <c r="E844" s="10"/>
      <c r="F844" s="6"/>
      <c r="G844" s="6"/>
      <c r="H844" s="6"/>
      <c r="I844" s="10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6">
      <c r="A845" s="10"/>
      <c r="B845" s="6"/>
      <c r="C845" s="6"/>
      <c r="D845" s="6"/>
      <c r="E845" s="10"/>
      <c r="F845" s="6"/>
      <c r="G845" s="6"/>
      <c r="H845" s="6"/>
      <c r="I845" s="10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6">
      <c r="A846" s="10"/>
      <c r="B846" s="6"/>
      <c r="C846" s="6"/>
      <c r="D846" s="6"/>
      <c r="E846" s="10"/>
      <c r="F846" s="6"/>
      <c r="G846" s="6"/>
      <c r="H846" s="6"/>
      <c r="I846" s="10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6">
      <c r="A847" s="10"/>
      <c r="B847" s="6"/>
      <c r="C847" s="6"/>
      <c r="D847" s="6"/>
      <c r="E847" s="10"/>
      <c r="F847" s="6"/>
      <c r="G847" s="6"/>
      <c r="H847" s="6"/>
      <c r="I847" s="10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6">
      <c r="A848" s="10"/>
      <c r="B848" s="6"/>
      <c r="C848" s="6"/>
      <c r="D848" s="6"/>
      <c r="E848" s="10"/>
      <c r="F848" s="6"/>
      <c r="G848" s="6"/>
      <c r="H848" s="6"/>
      <c r="I848" s="10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6">
      <c r="A849" s="10"/>
      <c r="B849" s="6"/>
      <c r="C849" s="6"/>
      <c r="D849" s="6"/>
      <c r="E849" s="10"/>
      <c r="F849" s="6"/>
      <c r="G849" s="6"/>
      <c r="H849" s="6"/>
      <c r="I849" s="10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6">
      <c r="A850" s="10"/>
      <c r="B850" s="6"/>
      <c r="C850" s="6"/>
      <c r="D850" s="6"/>
      <c r="E850" s="10"/>
      <c r="F850" s="6"/>
      <c r="G850" s="6"/>
      <c r="H850" s="6"/>
      <c r="I850" s="10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6">
      <c r="A851" s="10"/>
      <c r="B851" s="6"/>
      <c r="C851" s="6"/>
      <c r="D851" s="6"/>
      <c r="E851" s="10"/>
      <c r="F851" s="6"/>
      <c r="G851" s="6"/>
      <c r="H851" s="6"/>
      <c r="I851" s="10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6">
      <c r="A852" s="10"/>
      <c r="B852" s="6"/>
      <c r="C852" s="6"/>
      <c r="D852" s="6"/>
      <c r="E852" s="10"/>
      <c r="F852" s="6"/>
      <c r="G852" s="6"/>
      <c r="H852" s="6"/>
      <c r="I852" s="10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6">
      <c r="A853" s="10"/>
      <c r="B853" s="6"/>
      <c r="C853" s="6"/>
      <c r="D853" s="6"/>
      <c r="E853" s="10"/>
      <c r="F853" s="6"/>
      <c r="G853" s="6"/>
      <c r="H853" s="6"/>
      <c r="I853" s="10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6">
      <c r="A854" s="10"/>
      <c r="B854" s="6"/>
      <c r="C854" s="6"/>
      <c r="D854" s="6"/>
      <c r="E854" s="10"/>
      <c r="F854" s="6"/>
      <c r="G854" s="6"/>
      <c r="H854" s="6"/>
      <c r="I854" s="10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6">
      <c r="A855" s="10"/>
      <c r="B855" s="6"/>
      <c r="C855" s="6"/>
      <c r="D855" s="6"/>
      <c r="E855" s="10"/>
      <c r="F855" s="6"/>
      <c r="G855" s="6"/>
      <c r="H855" s="6"/>
      <c r="I855" s="10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6">
      <c r="A856" s="10"/>
      <c r="B856" s="6"/>
      <c r="C856" s="6"/>
      <c r="D856" s="6"/>
      <c r="E856" s="10"/>
      <c r="F856" s="6"/>
      <c r="G856" s="6"/>
      <c r="H856" s="6"/>
      <c r="I856" s="10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6">
      <c r="A857" s="10"/>
      <c r="B857" s="6"/>
      <c r="C857" s="6"/>
      <c r="D857" s="6"/>
      <c r="E857" s="10"/>
      <c r="F857" s="6"/>
      <c r="G857" s="6"/>
      <c r="H857" s="6"/>
      <c r="I857" s="10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6">
      <c r="A858" s="10"/>
      <c r="B858" s="6"/>
      <c r="C858" s="6"/>
      <c r="D858" s="6"/>
      <c r="E858" s="10"/>
      <c r="F858" s="6"/>
      <c r="G858" s="6"/>
      <c r="H858" s="6"/>
      <c r="I858" s="10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6">
      <c r="A859" s="10"/>
      <c r="B859" s="6"/>
      <c r="C859" s="6"/>
      <c r="D859" s="6"/>
      <c r="E859" s="10"/>
      <c r="F859" s="6"/>
      <c r="G859" s="6"/>
      <c r="H859" s="6"/>
      <c r="I859" s="10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6">
      <c r="A860" s="10"/>
      <c r="B860" s="6"/>
      <c r="C860" s="6"/>
      <c r="D860" s="6"/>
      <c r="E860" s="10"/>
      <c r="F860" s="6"/>
      <c r="G860" s="6"/>
      <c r="H860" s="6"/>
      <c r="I860" s="10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6">
      <c r="A861" s="10"/>
      <c r="B861" s="6"/>
      <c r="C861" s="6"/>
      <c r="D861" s="6"/>
      <c r="E861" s="10"/>
      <c r="F861" s="6"/>
      <c r="G861" s="6"/>
      <c r="H861" s="6"/>
      <c r="I861" s="10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6">
      <c r="A862" s="10"/>
      <c r="B862" s="6"/>
      <c r="C862" s="6"/>
      <c r="D862" s="6"/>
      <c r="E862" s="10"/>
      <c r="F862" s="6"/>
      <c r="G862" s="6"/>
      <c r="H862" s="6"/>
      <c r="I862" s="10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6">
      <c r="A863" s="10"/>
      <c r="B863" s="6"/>
      <c r="C863" s="6"/>
      <c r="D863" s="6"/>
      <c r="E863" s="10"/>
      <c r="F863" s="6"/>
      <c r="G863" s="6"/>
      <c r="H863" s="6"/>
      <c r="I863" s="10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6">
      <c r="A864" s="10"/>
      <c r="B864" s="6"/>
      <c r="C864" s="6"/>
      <c r="D864" s="6"/>
      <c r="E864" s="10"/>
      <c r="F864" s="6"/>
      <c r="G864" s="6"/>
      <c r="H864" s="6"/>
      <c r="I864" s="10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6">
      <c r="A865" s="10"/>
      <c r="B865" s="6"/>
      <c r="C865" s="6"/>
      <c r="D865" s="6"/>
      <c r="E865" s="10"/>
      <c r="F865" s="6"/>
      <c r="G865" s="6"/>
      <c r="H865" s="6"/>
      <c r="I865" s="10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6">
      <c r="A866" s="10"/>
      <c r="B866" s="6"/>
      <c r="C866" s="6"/>
      <c r="D866" s="6"/>
      <c r="E866" s="10"/>
      <c r="F866" s="6"/>
      <c r="G866" s="6"/>
      <c r="H866" s="6"/>
      <c r="I866" s="10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6">
      <c r="A867" s="10"/>
      <c r="B867" s="6"/>
      <c r="C867" s="6"/>
      <c r="D867" s="6"/>
      <c r="E867" s="10"/>
      <c r="F867" s="6"/>
      <c r="G867" s="6"/>
      <c r="H867" s="6"/>
      <c r="I867" s="10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6">
      <c r="A868" s="10"/>
      <c r="B868" s="6"/>
      <c r="C868" s="6"/>
      <c r="D868" s="6"/>
      <c r="E868" s="10"/>
      <c r="F868" s="6"/>
      <c r="G868" s="6"/>
      <c r="H868" s="6"/>
      <c r="I868" s="10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6">
      <c r="A869" s="10"/>
      <c r="B869" s="6"/>
      <c r="C869" s="6"/>
      <c r="D869" s="6"/>
      <c r="E869" s="10"/>
      <c r="F869" s="6"/>
      <c r="G869" s="6"/>
      <c r="H869" s="6"/>
      <c r="I869" s="10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6">
      <c r="A870" s="10"/>
      <c r="B870" s="6"/>
      <c r="C870" s="6"/>
      <c r="D870" s="6"/>
      <c r="E870" s="10"/>
      <c r="F870" s="6"/>
      <c r="G870" s="6"/>
      <c r="H870" s="6"/>
      <c r="I870" s="10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6">
      <c r="A871" s="10"/>
      <c r="B871" s="6"/>
      <c r="C871" s="6"/>
      <c r="D871" s="6"/>
      <c r="E871" s="10"/>
      <c r="F871" s="6"/>
      <c r="G871" s="6"/>
      <c r="H871" s="6"/>
      <c r="I871" s="10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6">
      <c r="A872" s="10"/>
      <c r="B872" s="6"/>
      <c r="C872" s="6"/>
      <c r="D872" s="6"/>
      <c r="E872" s="10"/>
      <c r="F872" s="6"/>
      <c r="G872" s="6"/>
      <c r="H872" s="6"/>
      <c r="I872" s="10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6">
      <c r="A873" s="10"/>
      <c r="B873" s="6"/>
      <c r="C873" s="6"/>
      <c r="D873" s="6"/>
      <c r="E873" s="10"/>
      <c r="F873" s="6"/>
      <c r="G873" s="6"/>
      <c r="H873" s="6"/>
      <c r="I873" s="10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6">
      <c r="A874" s="10"/>
      <c r="B874" s="6"/>
      <c r="C874" s="6"/>
      <c r="D874" s="6"/>
      <c r="E874" s="10"/>
      <c r="F874" s="6"/>
      <c r="G874" s="6"/>
      <c r="H874" s="6"/>
      <c r="I874" s="10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6">
      <c r="A875" s="10"/>
      <c r="B875" s="6"/>
      <c r="C875" s="6"/>
      <c r="D875" s="6"/>
      <c r="E875" s="10"/>
      <c r="F875" s="6"/>
      <c r="G875" s="6"/>
      <c r="H875" s="6"/>
      <c r="I875" s="10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6">
      <c r="A876" s="10"/>
      <c r="B876" s="6"/>
      <c r="C876" s="6"/>
      <c r="D876" s="6"/>
      <c r="E876" s="10"/>
      <c r="F876" s="6"/>
      <c r="G876" s="6"/>
      <c r="H876" s="6"/>
      <c r="I876" s="10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6">
      <c r="A877" s="10"/>
      <c r="B877" s="6"/>
      <c r="C877" s="6"/>
      <c r="D877" s="6"/>
      <c r="E877" s="10"/>
      <c r="F877" s="6"/>
      <c r="G877" s="6"/>
      <c r="H877" s="6"/>
      <c r="I877" s="10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6">
      <c r="A878" s="10"/>
      <c r="B878" s="6"/>
      <c r="C878" s="6"/>
      <c r="D878" s="6"/>
      <c r="E878" s="10"/>
      <c r="F878" s="6"/>
      <c r="G878" s="6"/>
      <c r="H878" s="6"/>
      <c r="I878" s="10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6">
      <c r="A879" s="10"/>
      <c r="B879" s="6"/>
      <c r="C879" s="6"/>
      <c r="D879" s="6"/>
      <c r="E879" s="10"/>
      <c r="F879" s="6"/>
      <c r="G879" s="6"/>
      <c r="H879" s="6"/>
      <c r="I879" s="10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6">
      <c r="A880" s="10"/>
      <c r="B880" s="6"/>
      <c r="C880" s="6"/>
      <c r="D880" s="6"/>
      <c r="E880" s="10"/>
      <c r="F880" s="6"/>
      <c r="G880" s="6"/>
      <c r="H880" s="6"/>
      <c r="I880" s="10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6">
      <c r="A881" s="10"/>
      <c r="B881" s="6"/>
      <c r="C881" s="6"/>
      <c r="D881" s="6"/>
      <c r="E881" s="10"/>
      <c r="F881" s="6"/>
      <c r="G881" s="6"/>
      <c r="H881" s="6"/>
      <c r="I881" s="10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6">
      <c r="A882" s="10"/>
      <c r="B882" s="6"/>
      <c r="C882" s="6"/>
      <c r="D882" s="6"/>
      <c r="E882" s="10"/>
      <c r="F882" s="6"/>
      <c r="G882" s="6"/>
      <c r="H882" s="6"/>
      <c r="I882" s="10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6">
      <c r="A883" s="10"/>
      <c r="B883" s="6"/>
      <c r="C883" s="6"/>
      <c r="D883" s="6"/>
      <c r="E883" s="10"/>
      <c r="F883" s="6"/>
      <c r="G883" s="6"/>
      <c r="H883" s="6"/>
      <c r="I883" s="10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6">
      <c r="A884" s="10"/>
      <c r="B884" s="6"/>
      <c r="C884" s="6"/>
      <c r="D884" s="6"/>
      <c r="E884" s="10"/>
      <c r="F884" s="6"/>
      <c r="G884" s="6"/>
      <c r="H884" s="6"/>
      <c r="I884" s="10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6">
      <c r="A885" s="10"/>
      <c r="B885" s="6"/>
      <c r="C885" s="6"/>
      <c r="D885" s="6"/>
      <c r="E885" s="10"/>
      <c r="F885" s="6"/>
      <c r="G885" s="6"/>
      <c r="H885" s="6"/>
      <c r="I885" s="10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6">
      <c r="A886" s="10"/>
      <c r="B886" s="6"/>
      <c r="C886" s="6"/>
      <c r="D886" s="6"/>
      <c r="E886" s="10"/>
      <c r="F886" s="6"/>
      <c r="G886" s="6"/>
      <c r="H886" s="6"/>
      <c r="I886" s="10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6">
      <c r="A887" s="10"/>
      <c r="B887" s="6"/>
      <c r="C887" s="6"/>
      <c r="D887" s="6"/>
      <c r="E887" s="10"/>
      <c r="F887" s="6"/>
      <c r="G887" s="6"/>
      <c r="H887" s="6"/>
      <c r="I887" s="10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6">
      <c r="A888" s="10"/>
      <c r="B888" s="6"/>
      <c r="C888" s="6"/>
      <c r="D888" s="6"/>
      <c r="E888" s="10"/>
      <c r="F888" s="6"/>
      <c r="G888" s="6"/>
      <c r="H888" s="6"/>
      <c r="I888" s="10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6">
      <c r="A889" s="10"/>
      <c r="B889" s="6"/>
      <c r="C889" s="6"/>
      <c r="D889" s="6"/>
      <c r="E889" s="10"/>
      <c r="F889" s="6"/>
      <c r="G889" s="6"/>
      <c r="H889" s="6"/>
      <c r="I889" s="10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6">
      <c r="A890" s="10"/>
      <c r="B890" s="6"/>
      <c r="C890" s="6"/>
      <c r="D890" s="6"/>
      <c r="E890" s="10"/>
      <c r="F890" s="6"/>
      <c r="G890" s="6"/>
      <c r="H890" s="6"/>
      <c r="I890" s="10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6">
      <c r="A891" s="10"/>
      <c r="B891" s="6"/>
      <c r="C891" s="6"/>
      <c r="D891" s="6"/>
      <c r="E891" s="10"/>
      <c r="F891" s="6"/>
      <c r="G891" s="6"/>
      <c r="H891" s="6"/>
      <c r="I891" s="10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6">
      <c r="A892" s="10"/>
      <c r="B892" s="6"/>
      <c r="C892" s="6"/>
      <c r="D892" s="6"/>
      <c r="E892" s="10"/>
      <c r="F892" s="6"/>
      <c r="G892" s="6"/>
      <c r="H892" s="6"/>
      <c r="I892" s="10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6">
      <c r="A893" s="10"/>
      <c r="B893" s="6"/>
      <c r="C893" s="6"/>
      <c r="D893" s="6"/>
      <c r="E893" s="10"/>
      <c r="F893" s="6"/>
      <c r="G893" s="6"/>
      <c r="H893" s="6"/>
      <c r="I893" s="10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6">
      <c r="A894" s="10"/>
      <c r="B894" s="6"/>
      <c r="C894" s="6"/>
      <c r="D894" s="6"/>
      <c r="E894" s="10"/>
      <c r="F894" s="6"/>
      <c r="G894" s="6"/>
      <c r="H894" s="6"/>
      <c r="I894" s="10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6">
      <c r="A895" s="10"/>
      <c r="B895" s="6"/>
      <c r="C895" s="6"/>
      <c r="D895" s="6"/>
      <c r="E895" s="10"/>
      <c r="F895" s="6"/>
      <c r="G895" s="6"/>
      <c r="H895" s="6"/>
      <c r="I895" s="10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6">
      <c r="A896" s="10"/>
      <c r="B896" s="6"/>
      <c r="C896" s="6"/>
      <c r="D896" s="6"/>
      <c r="E896" s="10"/>
      <c r="F896" s="6"/>
      <c r="G896" s="6"/>
      <c r="H896" s="6"/>
      <c r="I896" s="10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6">
      <c r="A897" s="10"/>
      <c r="B897" s="6"/>
      <c r="C897" s="6"/>
      <c r="D897" s="6"/>
      <c r="E897" s="10"/>
      <c r="F897" s="6"/>
      <c r="G897" s="6"/>
      <c r="H897" s="6"/>
      <c r="I897" s="10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6">
      <c r="A898" s="10"/>
      <c r="B898" s="6"/>
      <c r="C898" s="6"/>
      <c r="D898" s="6"/>
      <c r="E898" s="10"/>
      <c r="F898" s="6"/>
      <c r="G898" s="6"/>
      <c r="H898" s="6"/>
      <c r="I898" s="10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6">
      <c r="A899" s="10"/>
      <c r="B899" s="6"/>
      <c r="C899" s="6"/>
      <c r="D899" s="6"/>
      <c r="E899" s="10"/>
      <c r="F899" s="6"/>
      <c r="G899" s="6"/>
      <c r="H899" s="6"/>
      <c r="I899" s="10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6">
      <c r="A900" s="10"/>
      <c r="B900" s="6"/>
      <c r="C900" s="6"/>
      <c r="D900" s="6"/>
      <c r="E900" s="10"/>
      <c r="F900" s="6"/>
      <c r="G900" s="6"/>
      <c r="H900" s="6"/>
      <c r="I900" s="10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6">
      <c r="A901" s="10"/>
      <c r="B901" s="6"/>
      <c r="C901" s="6"/>
      <c r="D901" s="6"/>
      <c r="E901" s="10"/>
      <c r="F901" s="6"/>
      <c r="G901" s="6"/>
      <c r="H901" s="6"/>
      <c r="I901" s="10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6">
      <c r="A902" s="10"/>
      <c r="B902" s="6"/>
      <c r="C902" s="6"/>
      <c r="D902" s="6"/>
      <c r="E902" s="10"/>
      <c r="F902" s="6"/>
      <c r="G902" s="6"/>
      <c r="H902" s="6"/>
      <c r="I902" s="10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6">
      <c r="A903" s="10"/>
      <c r="B903" s="6"/>
      <c r="C903" s="6"/>
      <c r="D903" s="6"/>
      <c r="E903" s="10"/>
      <c r="F903" s="6"/>
      <c r="G903" s="6"/>
      <c r="H903" s="6"/>
      <c r="I903" s="10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6">
      <c r="A904" s="10"/>
      <c r="B904" s="6"/>
      <c r="C904" s="6"/>
      <c r="D904" s="6"/>
      <c r="E904" s="10"/>
      <c r="F904" s="6"/>
      <c r="G904" s="6"/>
      <c r="H904" s="6"/>
      <c r="I904" s="10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6">
      <c r="A905" s="10"/>
      <c r="B905" s="6"/>
      <c r="C905" s="6"/>
      <c r="D905" s="6"/>
      <c r="E905" s="10"/>
      <c r="F905" s="6"/>
      <c r="G905" s="6"/>
      <c r="H905" s="6"/>
      <c r="I905" s="10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6">
      <c r="A906" s="10"/>
      <c r="B906" s="6"/>
      <c r="C906" s="6"/>
      <c r="D906" s="6"/>
      <c r="E906" s="10"/>
      <c r="F906" s="6"/>
      <c r="G906" s="6"/>
      <c r="H906" s="6"/>
      <c r="I906" s="10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6">
      <c r="A907" s="10"/>
      <c r="B907" s="6"/>
      <c r="C907" s="6"/>
      <c r="D907" s="6"/>
      <c r="E907" s="10"/>
      <c r="F907" s="6"/>
      <c r="G907" s="6"/>
      <c r="H907" s="6"/>
      <c r="I907" s="10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6">
      <c r="A908" s="10"/>
      <c r="B908" s="6"/>
      <c r="C908" s="6"/>
      <c r="D908" s="6"/>
      <c r="E908" s="10"/>
      <c r="F908" s="6"/>
      <c r="G908" s="6"/>
      <c r="H908" s="6"/>
      <c r="I908" s="10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6">
      <c r="A909" s="10"/>
      <c r="B909" s="6"/>
      <c r="C909" s="6"/>
      <c r="D909" s="6"/>
      <c r="E909" s="10"/>
      <c r="F909" s="6"/>
      <c r="G909" s="6"/>
      <c r="H909" s="6"/>
      <c r="I909" s="10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6">
      <c r="A910" s="10"/>
      <c r="B910" s="6"/>
      <c r="C910" s="6"/>
      <c r="D910" s="6"/>
      <c r="E910" s="10"/>
      <c r="F910" s="6"/>
      <c r="G910" s="6"/>
      <c r="H910" s="6"/>
      <c r="I910" s="10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6">
      <c r="A911" s="10"/>
      <c r="B911" s="6"/>
      <c r="C911" s="6"/>
      <c r="D911" s="6"/>
      <c r="E911" s="10"/>
      <c r="F911" s="6"/>
      <c r="G911" s="6"/>
      <c r="H911" s="6"/>
      <c r="I911" s="10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6">
      <c r="A912" s="10"/>
      <c r="B912" s="6"/>
      <c r="C912" s="6"/>
      <c r="D912" s="6"/>
      <c r="E912" s="10"/>
      <c r="F912" s="6"/>
      <c r="G912" s="6"/>
      <c r="H912" s="6"/>
      <c r="I912" s="10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6">
      <c r="A913" s="10"/>
      <c r="B913" s="6"/>
      <c r="C913" s="6"/>
      <c r="D913" s="6"/>
      <c r="E913" s="10"/>
      <c r="F913" s="6"/>
      <c r="G913" s="6"/>
      <c r="H913" s="6"/>
      <c r="I913" s="10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6">
      <c r="A914" s="10"/>
      <c r="B914" s="6"/>
      <c r="C914" s="6"/>
      <c r="D914" s="6"/>
      <c r="E914" s="10"/>
      <c r="F914" s="6"/>
      <c r="G914" s="6"/>
      <c r="H914" s="6"/>
      <c r="I914" s="10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6">
      <c r="A915" s="10"/>
      <c r="B915" s="6"/>
      <c r="C915" s="6"/>
      <c r="D915" s="6"/>
      <c r="E915" s="10"/>
      <c r="F915" s="6"/>
      <c r="G915" s="6"/>
      <c r="H915" s="6"/>
      <c r="I915" s="10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6">
      <c r="A916" s="10"/>
      <c r="B916" s="6"/>
      <c r="C916" s="6"/>
      <c r="D916" s="6"/>
      <c r="E916" s="10"/>
      <c r="F916" s="6"/>
      <c r="G916" s="6"/>
      <c r="H916" s="6"/>
      <c r="I916" s="10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6">
      <c r="A917" s="10"/>
      <c r="B917" s="6"/>
      <c r="C917" s="6"/>
      <c r="D917" s="6"/>
      <c r="E917" s="10"/>
      <c r="F917" s="6"/>
      <c r="G917" s="6"/>
      <c r="H917" s="6"/>
      <c r="I917" s="10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6">
      <c r="A918" s="10"/>
      <c r="B918" s="6"/>
      <c r="C918" s="6"/>
      <c r="D918" s="6"/>
      <c r="E918" s="10"/>
      <c r="F918" s="6"/>
      <c r="G918" s="6"/>
      <c r="H918" s="6"/>
      <c r="I918" s="10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6">
      <c r="A919" s="10"/>
      <c r="B919" s="6"/>
      <c r="C919" s="6"/>
      <c r="D919" s="6"/>
      <c r="E919" s="10"/>
      <c r="F919" s="6"/>
      <c r="G919" s="6"/>
      <c r="H919" s="6"/>
      <c r="I919" s="10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6">
      <c r="A920" s="10"/>
      <c r="B920" s="6"/>
      <c r="C920" s="6"/>
      <c r="D920" s="6"/>
      <c r="E920" s="10"/>
      <c r="F920" s="6"/>
      <c r="G920" s="6"/>
      <c r="H920" s="6"/>
      <c r="I920" s="10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6">
      <c r="A921" s="10"/>
      <c r="B921" s="6"/>
      <c r="C921" s="6"/>
      <c r="D921" s="6"/>
      <c r="E921" s="10"/>
      <c r="F921" s="6"/>
      <c r="G921" s="6"/>
      <c r="H921" s="6"/>
      <c r="I921" s="10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6">
      <c r="A922" s="10"/>
      <c r="B922" s="6"/>
      <c r="C922" s="6"/>
      <c r="D922" s="6"/>
      <c r="E922" s="10"/>
      <c r="F922" s="6"/>
      <c r="G922" s="6"/>
      <c r="H922" s="6"/>
      <c r="I922" s="10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6">
      <c r="A923" s="10"/>
      <c r="B923" s="6"/>
      <c r="C923" s="6"/>
      <c r="D923" s="6"/>
      <c r="E923" s="10"/>
      <c r="F923" s="6"/>
      <c r="G923" s="6"/>
      <c r="H923" s="6"/>
      <c r="I923" s="10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6">
      <c r="A924" s="10"/>
      <c r="B924" s="6"/>
      <c r="C924" s="6"/>
      <c r="D924" s="6"/>
      <c r="E924" s="10"/>
      <c r="F924" s="6"/>
      <c r="G924" s="6"/>
      <c r="H924" s="6"/>
      <c r="I924" s="10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6">
      <c r="A925" s="10"/>
      <c r="B925" s="6"/>
      <c r="C925" s="6"/>
      <c r="D925" s="6"/>
      <c r="E925" s="10"/>
      <c r="F925" s="6"/>
      <c r="G925" s="6"/>
      <c r="H925" s="6"/>
      <c r="I925" s="10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6">
      <c r="A926" s="10"/>
      <c r="B926" s="6"/>
      <c r="C926" s="6"/>
      <c r="D926" s="6"/>
      <c r="E926" s="10"/>
      <c r="F926" s="6"/>
      <c r="G926" s="6"/>
      <c r="H926" s="6"/>
      <c r="I926" s="10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6">
      <c r="A927" s="10"/>
      <c r="B927" s="6"/>
      <c r="C927" s="6"/>
      <c r="D927" s="6"/>
      <c r="E927" s="10"/>
      <c r="F927" s="6"/>
      <c r="G927" s="6"/>
      <c r="H927" s="6"/>
      <c r="I927" s="10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6">
      <c r="A928" s="10"/>
      <c r="B928" s="6"/>
      <c r="C928" s="6"/>
      <c r="D928" s="6"/>
      <c r="E928" s="10"/>
      <c r="F928" s="6"/>
      <c r="G928" s="6"/>
      <c r="H928" s="6"/>
      <c r="I928" s="10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6">
      <c r="A929" s="10"/>
      <c r="B929" s="6"/>
      <c r="C929" s="6"/>
      <c r="D929" s="6"/>
      <c r="E929" s="10"/>
      <c r="F929" s="6"/>
      <c r="G929" s="6"/>
      <c r="H929" s="6"/>
      <c r="I929" s="10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6">
      <c r="A930" s="10"/>
      <c r="B930" s="6"/>
      <c r="C930" s="6"/>
      <c r="D930" s="6"/>
      <c r="E930" s="10"/>
      <c r="F930" s="6"/>
      <c r="G930" s="6"/>
      <c r="H930" s="6"/>
      <c r="I930" s="10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6">
      <c r="A931" s="10"/>
      <c r="B931" s="6"/>
      <c r="C931" s="6"/>
      <c r="D931" s="6"/>
      <c r="E931" s="10"/>
      <c r="F931" s="6"/>
      <c r="G931" s="6"/>
      <c r="H931" s="6"/>
      <c r="I931" s="10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6">
      <c r="A932" s="10"/>
      <c r="B932" s="6"/>
      <c r="C932" s="6"/>
      <c r="D932" s="6"/>
      <c r="E932" s="10"/>
      <c r="F932" s="6"/>
      <c r="G932" s="6"/>
      <c r="H932" s="6"/>
      <c r="I932" s="10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6">
      <c r="A933" s="10"/>
      <c r="B933" s="6"/>
      <c r="C933" s="6"/>
      <c r="D933" s="6"/>
      <c r="E933" s="10"/>
      <c r="F933" s="6"/>
      <c r="G933" s="6"/>
      <c r="H933" s="6"/>
      <c r="I933" s="10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6">
      <c r="A934" s="10"/>
      <c r="B934" s="6"/>
      <c r="C934" s="6"/>
      <c r="D934" s="6"/>
      <c r="E934" s="10"/>
      <c r="F934" s="6"/>
      <c r="G934" s="6"/>
      <c r="H934" s="6"/>
      <c r="I934" s="10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6">
      <c r="A935" s="10"/>
      <c r="B935" s="6"/>
      <c r="C935" s="6"/>
      <c r="D935" s="6"/>
      <c r="E935" s="10"/>
      <c r="F935" s="6"/>
      <c r="G935" s="6"/>
      <c r="H935" s="6"/>
      <c r="I935" s="10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6">
      <c r="A936" s="10"/>
      <c r="B936" s="6"/>
      <c r="C936" s="6"/>
      <c r="D936" s="6"/>
      <c r="E936" s="10"/>
      <c r="F936" s="6"/>
      <c r="G936" s="6"/>
      <c r="H936" s="6"/>
      <c r="I936" s="10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6">
      <c r="A937" s="10"/>
      <c r="B937" s="6"/>
      <c r="C937" s="6"/>
      <c r="D937" s="6"/>
      <c r="E937" s="10"/>
      <c r="F937" s="6"/>
      <c r="G937" s="6"/>
      <c r="H937" s="6"/>
      <c r="I937" s="10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6">
      <c r="A938" s="10"/>
      <c r="B938" s="6"/>
      <c r="C938" s="6"/>
      <c r="D938" s="6"/>
      <c r="E938" s="10"/>
      <c r="F938" s="6"/>
      <c r="G938" s="6"/>
      <c r="H938" s="6"/>
      <c r="I938" s="10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6">
      <c r="A939" s="10"/>
      <c r="B939" s="6"/>
      <c r="C939" s="6"/>
      <c r="D939" s="6"/>
      <c r="E939" s="10"/>
      <c r="F939" s="6"/>
      <c r="G939" s="6"/>
      <c r="H939" s="6"/>
      <c r="I939" s="10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6">
      <c r="A940" s="10"/>
      <c r="B940" s="6"/>
      <c r="C940" s="6"/>
      <c r="D940" s="6"/>
      <c r="E940" s="10"/>
      <c r="F940" s="6"/>
      <c r="G940" s="6"/>
      <c r="H940" s="6"/>
      <c r="I940" s="10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6">
      <c r="A941" s="10"/>
      <c r="B941" s="6"/>
      <c r="C941" s="6"/>
      <c r="D941" s="6"/>
      <c r="E941" s="10"/>
      <c r="F941" s="6"/>
      <c r="G941" s="6"/>
      <c r="H941" s="6"/>
      <c r="I941" s="10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6">
      <c r="A942" s="10"/>
      <c r="B942" s="6"/>
      <c r="C942" s="6"/>
      <c r="D942" s="6"/>
      <c r="E942" s="10"/>
      <c r="F942" s="6"/>
      <c r="G942" s="6"/>
      <c r="H942" s="6"/>
      <c r="I942" s="10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6">
      <c r="A943" s="10"/>
      <c r="B943" s="6"/>
      <c r="C943" s="6"/>
      <c r="D943" s="6"/>
      <c r="E943" s="10"/>
      <c r="F943" s="6"/>
      <c r="G943" s="6"/>
      <c r="H943" s="6"/>
      <c r="I943" s="10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6">
      <c r="A944" s="10"/>
      <c r="B944" s="6"/>
      <c r="C944" s="6"/>
      <c r="D944" s="6"/>
      <c r="E944" s="10"/>
      <c r="F944" s="6"/>
      <c r="G944" s="6"/>
      <c r="H944" s="6"/>
      <c r="I944" s="10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6">
      <c r="A945" s="10"/>
      <c r="B945" s="6"/>
      <c r="C945" s="6"/>
      <c r="D945" s="6"/>
      <c r="E945" s="10"/>
      <c r="F945" s="6"/>
      <c r="G945" s="6"/>
      <c r="H945" s="6"/>
      <c r="I945" s="10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6">
      <c r="A946" s="10"/>
      <c r="B946" s="6"/>
      <c r="C946" s="6"/>
      <c r="D946" s="6"/>
      <c r="E946" s="10"/>
      <c r="F946" s="6"/>
      <c r="G946" s="6"/>
      <c r="H946" s="6"/>
      <c r="I946" s="10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6">
      <c r="A947" s="10"/>
      <c r="B947" s="6"/>
      <c r="C947" s="6"/>
      <c r="D947" s="6"/>
      <c r="E947" s="10"/>
      <c r="F947" s="6"/>
      <c r="G947" s="6"/>
      <c r="H947" s="6"/>
      <c r="I947" s="10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6">
      <c r="A948" s="10"/>
      <c r="B948" s="6"/>
      <c r="C948" s="6"/>
      <c r="D948" s="6"/>
      <c r="E948" s="10"/>
      <c r="F948" s="6"/>
      <c r="G948" s="6"/>
      <c r="H948" s="6"/>
      <c r="I948" s="10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6">
      <c r="A949" s="10"/>
      <c r="B949" s="6"/>
      <c r="C949" s="6"/>
      <c r="D949" s="6"/>
      <c r="E949" s="10"/>
      <c r="F949" s="6"/>
      <c r="G949" s="6"/>
      <c r="H949" s="6"/>
      <c r="I949" s="10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6">
      <c r="A950" s="10"/>
      <c r="B950" s="6"/>
      <c r="C950" s="6"/>
      <c r="D950" s="6"/>
      <c r="E950" s="10"/>
      <c r="F950" s="6"/>
      <c r="G950" s="6"/>
      <c r="H950" s="6"/>
      <c r="I950" s="10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6">
      <c r="A951" s="10"/>
      <c r="B951" s="6"/>
      <c r="C951" s="6"/>
      <c r="D951" s="6"/>
      <c r="E951" s="10"/>
      <c r="F951" s="6"/>
      <c r="G951" s="6"/>
      <c r="H951" s="6"/>
      <c r="I951" s="10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6">
      <c r="A952" s="10"/>
      <c r="B952" s="6"/>
      <c r="C952" s="6"/>
      <c r="D952" s="6"/>
      <c r="E952" s="10"/>
      <c r="F952" s="6"/>
      <c r="G952" s="6"/>
      <c r="H952" s="6"/>
      <c r="I952" s="10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6">
      <c r="A953" s="10"/>
      <c r="B953" s="6"/>
      <c r="C953" s="6"/>
      <c r="D953" s="6"/>
      <c r="E953" s="10"/>
      <c r="F953" s="6"/>
      <c r="G953" s="6"/>
      <c r="H953" s="6"/>
      <c r="I953" s="10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6">
      <c r="A954" s="10"/>
      <c r="B954" s="6"/>
      <c r="C954" s="6"/>
      <c r="D954" s="6"/>
      <c r="E954" s="10"/>
      <c r="F954" s="6"/>
      <c r="G954" s="6"/>
      <c r="H954" s="6"/>
      <c r="I954" s="10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6">
      <c r="A955" s="10"/>
      <c r="B955" s="6"/>
      <c r="C955" s="6"/>
      <c r="D955" s="6"/>
      <c r="E955" s="10"/>
      <c r="F955" s="6"/>
      <c r="G955" s="6"/>
      <c r="H955" s="6"/>
      <c r="I955" s="10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6">
      <c r="A956" s="10"/>
      <c r="B956" s="6"/>
      <c r="C956" s="6"/>
      <c r="D956" s="6"/>
      <c r="E956" s="10"/>
      <c r="F956" s="6"/>
      <c r="G956" s="6"/>
      <c r="H956" s="6"/>
      <c r="I956" s="10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6">
      <c r="A957" s="10"/>
      <c r="B957" s="6"/>
      <c r="C957" s="6"/>
      <c r="D957" s="6"/>
      <c r="E957" s="10"/>
      <c r="F957" s="6"/>
      <c r="G957" s="6"/>
      <c r="H957" s="6"/>
      <c r="I957" s="10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6">
      <c r="A958" s="10"/>
      <c r="B958" s="6"/>
      <c r="C958" s="6"/>
      <c r="D958" s="6"/>
      <c r="E958" s="10"/>
      <c r="F958" s="6"/>
      <c r="G958" s="6"/>
      <c r="H958" s="6"/>
      <c r="I958" s="10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6">
      <c r="A959" s="10"/>
      <c r="B959" s="6"/>
      <c r="C959" s="6"/>
      <c r="D959" s="6"/>
      <c r="E959" s="10"/>
      <c r="F959" s="6"/>
      <c r="G959" s="6"/>
      <c r="H959" s="6"/>
      <c r="I959" s="10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6">
      <c r="A960" s="10"/>
      <c r="B960" s="6"/>
      <c r="C960" s="6"/>
      <c r="D960" s="6"/>
      <c r="E960" s="10"/>
      <c r="F960" s="6"/>
      <c r="G960" s="6"/>
      <c r="H960" s="6"/>
      <c r="I960" s="10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6">
      <c r="A961" s="10"/>
      <c r="B961" s="6"/>
      <c r="C961" s="6"/>
      <c r="D961" s="6"/>
      <c r="E961" s="10"/>
      <c r="F961" s="6"/>
      <c r="G961" s="6"/>
      <c r="H961" s="6"/>
      <c r="I961" s="10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6">
      <c r="A962" s="10"/>
      <c r="B962" s="6"/>
      <c r="C962" s="6"/>
      <c r="D962" s="6"/>
      <c r="E962" s="10"/>
      <c r="F962" s="6"/>
      <c r="G962" s="6"/>
      <c r="H962" s="6"/>
      <c r="I962" s="10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6">
      <c r="A963" s="10"/>
      <c r="B963" s="6"/>
      <c r="C963" s="6"/>
      <c r="D963" s="6"/>
      <c r="E963" s="10"/>
      <c r="F963" s="6"/>
      <c r="G963" s="6"/>
      <c r="H963" s="6"/>
      <c r="I963" s="10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6">
      <c r="A964" s="10"/>
      <c r="B964" s="6"/>
      <c r="C964" s="6"/>
      <c r="D964" s="6"/>
      <c r="E964" s="10"/>
      <c r="F964" s="6"/>
      <c r="G964" s="6"/>
      <c r="H964" s="6"/>
      <c r="I964" s="10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6">
      <c r="A965" s="10"/>
      <c r="B965" s="6"/>
      <c r="C965" s="6"/>
      <c r="D965" s="6"/>
      <c r="E965" s="10"/>
      <c r="F965" s="6"/>
      <c r="G965" s="6"/>
      <c r="H965" s="6"/>
      <c r="I965" s="10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6">
      <c r="A966" s="10"/>
      <c r="B966" s="6"/>
      <c r="C966" s="6"/>
      <c r="D966" s="6"/>
      <c r="E966" s="10"/>
      <c r="F966" s="6"/>
      <c r="G966" s="6"/>
      <c r="H966" s="6"/>
      <c r="I966" s="10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6">
      <c r="A967" s="10"/>
      <c r="B967" s="6"/>
      <c r="C967" s="6"/>
      <c r="D967" s="6"/>
      <c r="E967" s="10"/>
      <c r="F967" s="6"/>
      <c r="G967" s="6"/>
      <c r="H967" s="6"/>
      <c r="I967" s="10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6">
      <c r="A968" s="10"/>
      <c r="B968" s="6"/>
      <c r="C968" s="6"/>
      <c r="D968" s="6"/>
      <c r="E968" s="10"/>
      <c r="F968" s="6"/>
      <c r="G968" s="6"/>
      <c r="H968" s="6"/>
      <c r="I968" s="10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6">
      <c r="A969" s="10"/>
      <c r="B969" s="6"/>
      <c r="C969" s="6"/>
      <c r="D969" s="6"/>
      <c r="E969" s="10"/>
      <c r="F969" s="6"/>
      <c r="G969" s="6"/>
      <c r="H969" s="6"/>
      <c r="I969" s="10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6">
      <c r="A970" s="10"/>
      <c r="B970" s="6"/>
      <c r="C970" s="6"/>
      <c r="D970" s="6"/>
      <c r="E970" s="10"/>
      <c r="F970" s="6"/>
      <c r="G970" s="6"/>
      <c r="H970" s="6"/>
      <c r="I970" s="10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6">
      <c r="A971" s="10"/>
      <c r="B971" s="6"/>
      <c r="C971" s="6"/>
      <c r="D971" s="6"/>
      <c r="E971" s="10"/>
      <c r="F971" s="6"/>
      <c r="G971" s="6"/>
      <c r="H971" s="6"/>
      <c r="I971" s="10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6">
      <c r="A972" s="10"/>
      <c r="B972" s="6"/>
      <c r="C972" s="6"/>
      <c r="D972" s="6"/>
      <c r="E972" s="10"/>
      <c r="F972" s="6"/>
      <c r="G972" s="6"/>
      <c r="H972" s="6"/>
      <c r="I972" s="10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6">
      <c r="A973" s="10"/>
      <c r="B973" s="6"/>
      <c r="C973" s="6"/>
      <c r="D973" s="6"/>
      <c r="E973" s="10"/>
      <c r="F973" s="6"/>
      <c r="G973" s="6"/>
      <c r="H973" s="6"/>
      <c r="I973" s="10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6">
      <c r="A974" s="10"/>
      <c r="B974" s="6"/>
      <c r="C974" s="6"/>
      <c r="D974" s="6"/>
      <c r="E974" s="10"/>
      <c r="F974" s="6"/>
      <c r="G974" s="6"/>
      <c r="H974" s="6"/>
      <c r="I974" s="10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6">
      <c r="A975" s="10"/>
      <c r="B975" s="6"/>
      <c r="C975" s="6"/>
      <c r="D975" s="6"/>
      <c r="E975" s="10"/>
      <c r="F975" s="6"/>
      <c r="G975" s="6"/>
      <c r="H975" s="6"/>
      <c r="I975" s="10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6">
      <c r="A976" s="10"/>
      <c r="B976" s="6"/>
      <c r="C976" s="6"/>
      <c r="D976" s="6"/>
      <c r="E976" s="10"/>
      <c r="F976" s="6"/>
      <c r="G976" s="6"/>
      <c r="H976" s="6"/>
      <c r="I976" s="10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6">
      <c r="A977" s="10"/>
      <c r="B977" s="6"/>
      <c r="C977" s="6"/>
      <c r="D977" s="6"/>
      <c r="E977" s="10"/>
      <c r="F977" s="6"/>
      <c r="G977" s="6"/>
      <c r="H977" s="6"/>
      <c r="I977" s="10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6">
      <c r="A978" s="10"/>
      <c r="B978" s="6"/>
      <c r="C978" s="6"/>
      <c r="D978" s="6"/>
      <c r="E978" s="10"/>
      <c r="F978" s="6"/>
      <c r="G978" s="6"/>
      <c r="H978" s="6"/>
      <c r="I978" s="10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6">
      <c r="A979" s="10"/>
      <c r="B979" s="6"/>
      <c r="C979" s="6"/>
      <c r="D979" s="6"/>
      <c r="E979" s="10"/>
      <c r="F979" s="6"/>
      <c r="G979" s="6"/>
      <c r="H979" s="6"/>
      <c r="I979" s="10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6">
      <c r="A980" s="10"/>
      <c r="B980" s="6"/>
      <c r="C980" s="6"/>
      <c r="D980" s="6"/>
      <c r="E980" s="10"/>
      <c r="F980" s="6"/>
      <c r="G980" s="6"/>
      <c r="H980" s="6"/>
      <c r="I980" s="10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6">
      <c r="A981" s="10"/>
      <c r="B981" s="6"/>
      <c r="C981" s="6"/>
      <c r="D981" s="6"/>
      <c r="E981" s="10"/>
      <c r="F981" s="6"/>
      <c r="G981" s="6"/>
      <c r="H981" s="6"/>
      <c r="I981" s="10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6">
      <c r="A982" s="10"/>
      <c r="B982" s="6"/>
      <c r="C982" s="6"/>
      <c r="D982" s="6"/>
      <c r="E982" s="10"/>
      <c r="F982" s="6"/>
      <c r="G982" s="6"/>
      <c r="H982" s="6"/>
      <c r="I982" s="10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6">
      <c r="A983" s="10"/>
      <c r="B983" s="6"/>
      <c r="C983" s="6"/>
      <c r="D983" s="6"/>
      <c r="E983" s="10"/>
      <c r="F983" s="6"/>
      <c r="G983" s="6"/>
      <c r="H983" s="6"/>
      <c r="I983" s="10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6">
      <c r="A984" s="10"/>
      <c r="B984" s="6"/>
      <c r="C984" s="6"/>
      <c r="D984" s="6"/>
      <c r="E984" s="10"/>
      <c r="F984" s="6"/>
      <c r="G984" s="6"/>
      <c r="H984" s="6"/>
      <c r="I984" s="10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6">
      <c r="A985" s="10"/>
      <c r="B985" s="6"/>
      <c r="C985" s="6"/>
      <c r="D985" s="6"/>
      <c r="E985" s="10"/>
      <c r="F985" s="6"/>
      <c r="G985" s="6"/>
      <c r="H985" s="6"/>
      <c r="I985" s="10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6">
      <c r="A986" s="10"/>
      <c r="B986" s="6"/>
      <c r="C986" s="6"/>
      <c r="D986" s="6"/>
      <c r="E986" s="10"/>
      <c r="F986" s="6"/>
      <c r="G986" s="6"/>
      <c r="H986" s="6"/>
      <c r="I986" s="10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6">
      <c r="A987" s="10"/>
      <c r="B987" s="6"/>
      <c r="C987" s="6"/>
      <c r="D987" s="6"/>
      <c r="E987" s="10"/>
      <c r="F987" s="6"/>
      <c r="G987" s="6"/>
      <c r="H987" s="6"/>
      <c r="I987" s="10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6">
      <c r="A988" s="10"/>
      <c r="B988" s="6"/>
      <c r="C988" s="6"/>
      <c r="D988" s="6"/>
      <c r="E988" s="10"/>
      <c r="F988" s="6"/>
      <c r="G988" s="6"/>
      <c r="H988" s="6"/>
      <c r="I988" s="10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6">
      <c r="A989" s="10"/>
      <c r="B989" s="6"/>
      <c r="C989" s="6"/>
      <c r="D989" s="6"/>
      <c r="E989" s="10"/>
      <c r="F989" s="6"/>
      <c r="G989" s="6"/>
      <c r="H989" s="6"/>
      <c r="I989" s="10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6">
      <c r="A990" s="10"/>
      <c r="B990" s="6"/>
      <c r="C990" s="6"/>
      <c r="D990" s="6"/>
      <c r="E990" s="10"/>
      <c r="F990" s="6"/>
      <c r="G990" s="6"/>
      <c r="H990" s="6"/>
      <c r="I990" s="10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6">
      <c r="A991" s="10"/>
      <c r="B991" s="6"/>
      <c r="C991" s="6"/>
      <c r="D991" s="6"/>
      <c r="E991" s="10"/>
      <c r="F991" s="6"/>
      <c r="G991" s="6"/>
      <c r="H991" s="6"/>
      <c r="I991" s="10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6">
      <c r="A992" s="10"/>
      <c r="B992" s="6"/>
      <c r="C992" s="6"/>
      <c r="D992" s="6"/>
      <c r="E992" s="10"/>
      <c r="F992" s="6"/>
      <c r="G992" s="6"/>
      <c r="H992" s="6"/>
      <c r="I992" s="10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6">
      <c r="A993" s="10"/>
      <c r="B993" s="6"/>
      <c r="C993" s="6"/>
      <c r="D993" s="6"/>
      <c r="E993" s="10"/>
      <c r="F993" s="6"/>
      <c r="G993" s="6"/>
      <c r="H993" s="6"/>
      <c r="I993" s="10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6">
      <c r="A994" s="10"/>
      <c r="B994" s="6"/>
      <c r="C994" s="6"/>
      <c r="D994" s="6"/>
      <c r="E994" s="10"/>
      <c r="F994" s="6"/>
      <c r="G994" s="6"/>
      <c r="H994" s="6"/>
      <c r="I994" s="10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6">
      <c r="A995" s="10"/>
      <c r="B995" s="6"/>
      <c r="C995" s="6"/>
      <c r="D995" s="6"/>
      <c r="E995" s="10"/>
      <c r="F995" s="6"/>
      <c r="G995" s="6"/>
      <c r="H995" s="6"/>
      <c r="I995" s="10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6">
      <c r="A996" s="10"/>
      <c r="B996" s="6"/>
      <c r="C996" s="6"/>
      <c r="D996" s="6"/>
      <c r="E996" s="10"/>
      <c r="F996" s="6"/>
      <c r="G996" s="6"/>
      <c r="H996" s="6"/>
      <c r="I996" s="10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6">
      <c r="A997" s="10"/>
      <c r="B997" s="6"/>
      <c r="C997" s="6"/>
      <c r="D997" s="6"/>
      <c r="E997" s="10"/>
      <c r="F997" s="6"/>
      <c r="G997" s="6"/>
      <c r="H997" s="6"/>
      <c r="I997" s="10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6">
      <c r="A998" s="10"/>
      <c r="B998" s="6"/>
      <c r="C998" s="6"/>
      <c r="D998" s="6"/>
      <c r="E998" s="10"/>
      <c r="F998" s="6"/>
      <c r="G998" s="6"/>
      <c r="H998" s="6"/>
      <c r="I998" s="10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6">
      <c r="A999" s="10"/>
      <c r="B999" s="6"/>
      <c r="C999" s="6"/>
      <c r="D999" s="6"/>
      <c r="E999" s="10"/>
      <c r="F999" s="6"/>
      <c r="G999" s="6"/>
      <c r="H999" s="6"/>
      <c r="I999" s="10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6">
      <c r="A1000" s="10"/>
      <c r="B1000" s="6"/>
      <c r="C1000" s="6"/>
      <c r="D1000" s="6"/>
      <c r="E1000" s="10"/>
      <c r="F1000" s="6"/>
      <c r="G1000" s="6"/>
      <c r="H1000" s="6"/>
      <c r="I1000" s="10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6">
      <c r="A1001" s="10"/>
      <c r="B1001" s="6"/>
      <c r="C1001" s="6"/>
      <c r="D1001" s="6"/>
      <c r="E1001" s="10"/>
      <c r="F1001" s="6"/>
      <c r="G1001" s="6"/>
      <c r="H1001" s="6"/>
      <c r="I1001" s="10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6">
      <c r="A1002" s="10"/>
      <c r="B1002" s="6"/>
      <c r="C1002" s="6"/>
      <c r="D1002" s="6"/>
      <c r="E1002" s="10"/>
      <c r="F1002" s="6"/>
      <c r="G1002" s="6"/>
      <c r="H1002" s="6"/>
      <c r="I1002" s="10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Q1001"/>
  <sheetViews>
    <sheetView tabSelected="1" topLeftCell="A9" workbookViewId="0">
      <selection activeCell="D17" sqref="D17"/>
    </sheetView>
  </sheetViews>
  <sheetFormatPr baseColWidth="10" defaultColWidth="11.1640625" defaultRowHeight="15" customHeight="1"/>
  <cols>
    <col min="1" max="2" width="11" style="97" customWidth="1"/>
    <col min="3" max="3" width="21.5" style="97" customWidth="1"/>
    <col min="4" max="4" width="19.6640625" style="97" customWidth="1"/>
    <col min="5" max="5" width="9.6640625" style="97" customWidth="1"/>
    <col min="6" max="6" width="16.33203125" style="97" customWidth="1"/>
    <col min="7" max="7" width="17.83203125" style="97" customWidth="1"/>
    <col min="8" max="8" width="19" style="97" customWidth="1"/>
    <col min="9" max="9" width="9.1640625" style="97" customWidth="1"/>
    <col min="10" max="10" width="14" style="97" customWidth="1"/>
    <col min="11" max="11" width="21.33203125" style="97" customWidth="1"/>
    <col min="12" max="12" width="17.5" style="97" customWidth="1"/>
    <col min="13" max="16384" width="11.1640625" style="97"/>
  </cols>
  <sheetData>
    <row r="1" spans="1:17" ht="16">
      <c r="A1" s="112" t="s">
        <v>128</v>
      </c>
      <c r="B1" s="109" t="s">
        <v>42</v>
      </c>
      <c r="C1" s="109" t="s">
        <v>43</v>
      </c>
      <c r="D1" s="109" t="s">
        <v>44</v>
      </c>
      <c r="E1" s="112" t="s">
        <v>128</v>
      </c>
      <c r="F1" s="109" t="s">
        <v>42</v>
      </c>
      <c r="G1" s="109" t="s">
        <v>43</v>
      </c>
      <c r="H1" s="109" t="s">
        <v>44</v>
      </c>
      <c r="I1" s="112" t="s">
        <v>128</v>
      </c>
      <c r="J1" s="109" t="s">
        <v>42</v>
      </c>
      <c r="K1" s="109" t="s">
        <v>43</v>
      </c>
      <c r="L1" s="116" t="s">
        <v>44</v>
      </c>
    </row>
    <row r="2" spans="1:17" ht="16">
      <c r="A2" s="112" t="s">
        <v>1</v>
      </c>
      <c r="B2" s="111">
        <v>44791</v>
      </c>
      <c r="C2" s="110" t="s">
        <v>45</v>
      </c>
      <c r="D2" s="110" t="s">
        <v>46</v>
      </c>
      <c r="E2" s="112" t="s">
        <v>2</v>
      </c>
      <c r="F2" s="111">
        <v>44791</v>
      </c>
      <c r="G2" s="110" t="s">
        <v>47</v>
      </c>
      <c r="H2" s="110" t="s">
        <v>46</v>
      </c>
      <c r="I2" s="112" t="s">
        <v>3</v>
      </c>
      <c r="J2" s="111">
        <v>45501</v>
      </c>
      <c r="K2" s="110" t="s">
        <v>48</v>
      </c>
      <c r="L2" s="113" t="s">
        <v>49</v>
      </c>
      <c r="M2" s="114"/>
      <c r="N2" s="98"/>
      <c r="O2" s="99"/>
      <c r="P2" s="100"/>
      <c r="Q2" s="100"/>
    </row>
    <row r="3" spans="1:17" ht="16">
      <c r="A3" s="115"/>
      <c r="B3" s="103">
        <v>45501</v>
      </c>
      <c r="C3" s="104" t="s">
        <v>50</v>
      </c>
      <c r="D3" s="104" t="s">
        <v>49</v>
      </c>
      <c r="E3" s="115"/>
      <c r="F3" s="103">
        <v>44791</v>
      </c>
      <c r="G3" s="104" t="s">
        <v>51</v>
      </c>
      <c r="H3" s="104" t="s">
        <v>46</v>
      </c>
      <c r="I3" s="115"/>
      <c r="J3" s="104"/>
      <c r="K3" s="104"/>
      <c r="L3" s="105"/>
    </row>
    <row r="4" spans="1:17" ht="16">
      <c r="A4" s="115"/>
      <c r="B4" s="103">
        <v>45545</v>
      </c>
      <c r="C4" s="104" t="s">
        <v>139</v>
      </c>
      <c r="D4" s="104" t="s">
        <v>56</v>
      </c>
      <c r="E4" s="115"/>
      <c r="F4" s="103">
        <v>44791</v>
      </c>
      <c r="G4" s="104" t="s">
        <v>52</v>
      </c>
      <c r="H4" s="104" t="s">
        <v>46</v>
      </c>
      <c r="I4" s="115"/>
      <c r="J4" s="104"/>
      <c r="K4" s="104"/>
      <c r="L4" s="105"/>
    </row>
    <row r="5" spans="1:17" ht="16">
      <c r="A5" s="115"/>
      <c r="B5" s="103">
        <v>45595</v>
      </c>
      <c r="C5" s="104" t="s">
        <v>140</v>
      </c>
      <c r="D5" s="104" t="s">
        <v>56</v>
      </c>
      <c r="E5" s="115"/>
      <c r="F5" s="103">
        <v>44791</v>
      </c>
      <c r="G5" s="104" t="s">
        <v>53</v>
      </c>
      <c r="H5" s="104" t="s">
        <v>46</v>
      </c>
      <c r="I5" s="115"/>
      <c r="J5" s="104"/>
      <c r="K5" s="104"/>
      <c r="L5" s="105"/>
    </row>
    <row r="6" spans="1:17" ht="16">
      <c r="A6" s="115"/>
      <c r="B6" s="104"/>
      <c r="C6" s="104"/>
      <c r="D6" s="104"/>
      <c r="E6" s="115"/>
      <c r="F6" s="103">
        <v>45453</v>
      </c>
      <c r="G6" s="104" t="s">
        <v>54</v>
      </c>
      <c r="H6" s="104" t="s">
        <v>70</v>
      </c>
      <c r="I6" s="112" t="s">
        <v>6</v>
      </c>
      <c r="J6" s="111">
        <v>45224</v>
      </c>
      <c r="K6" s="110" t="s">
        <v>60</v>
      </c>
      <c r="L6" s="113" t="s">
        <v>100</v>
      </c>
    </row>
    <row r="7" spans="1:17" ht="16">
      <c r="A7" s="115"/>
      <c r="B7" s="104"/>
      <c r="C7" s="104"/>
      <c r="D7" s="104"/>
      <c r="E7" s="115"/>
      <c r="F7" s="103">
        <v>45097</v>
      </c>
      <c r="G7" s="104" t="s">
        <v>55</v>
      </c>
      <c r="H7" s="104" t="s">
        <v>56</v>
      </c>
      <c r="I7" s="115"/>
      <c r="J7" s="103">
        <v>45445</v>
      </c>
      <c r="K7" s="104" t="s">
        <v>63</v>
      </c>
      <c r="L7" s="105" t="s">
        <v>49</v>
      </c>
    </row>
    <row r="8" spans="1:17" ht="16">
      <c r="A8" s="115"/>
      <c r="B8" s="104"/>
      <c r="C8" s="104"/>
      <c r="D8" s="104"/>
      <c r="E8" s="115"/>
      <c r="F8" s="103">
        <v>45505</v>
      </c>
      <c r="G8" s="104" t="s">
        <v>57</v>
      </c>
      <c r="H8" s="104" t="s">
        <v>56</v>
      </c>
      <c r="I8" s="108">
        <v>45444</v>
      </c>
      <c r="J8" s="103">
        <v>45501</v>
      </c>
      <c r="K8" s="104" t="s">
        <v>66</v>
      </c>
      <c r="L8" s="105" t="s">
        <v>49</v>
      </c>
    </row>
    <row r="9" spans="1:17" ht="16">
      <c r="A9" s="112" t="s">
        <v>4</v>
      </c>
      <c r="B9" s="111">
        <v>44781</v>
      </c>
      <c r="C9" s="110" t="s">
        <v>58</v>
      </c>
      <c r="D9" s="110" t="s">
        <v>159</v>
      </c>
      <c r="E9" s="115"/>
      <c r="F9" s="103">
        <v>45603</v>
      </c>
      <c r="G9" s="104" t="s">
        <v>141</v>
      </c>
      <c r="H9" s="104" t="s">
        <v>56</v>
      </c>
      <c r="I9" s="115"/>
      <c r="J9" s="103">
        <v>45537</v>
      </c>
      <c r="K9" s="104" t="s">
        <v>71</v>
      </c>
      <c r="L9" s="105" t="s">
        <v>70</v>
      </c>
    </row>
    <row r="10" spans="1:17" ht="16">
      <c r="A10" s="115"/>
      <c r="B10" s="103">
        <v>44791</v>
      </c>
      <c r="C10" s="104" t="s">
        <v>61</v>
      </c>
      <c r="D10" s="104" t="s">
        <v>46</v>
      </c>
      <c r="E10" s="115"/>
      <c r="F10" s="103">
        <v>45603</v>
      </c>
      <c r="G10" s="104" t="s">
        <v>142</v>
      </c>
      <c r="H10" s="104" t="s">
        <v>56</v>
      </c>
      <c r="I10" s="115"/>
      <c r="J10" s="103">
        <v>45606</v>
      </c>
      <c r="K10" s="104" t="s">
        <v>165</v>
      </c>
      <c r="L10" s="105" t="s">
        <v>56</v>
      </c>
    </row>
    <row r="11" spans="1:17" ht="16">
      <c r="A11" s="115"/>
      <c r="B11" s="103">
        <v>44996</v>
      </c>
      <c r="C11" s="104" t="s">
        <v>64</v>
      </c>
      <c r="D11" s="104" t="s">
        <v>65</v>
      </c>
      <c r="E11" s="115"/>
      <c r="F11" s="103">
        <v>45603</v>
      </c>
      <c r="G11" s="104" t="s">
        <v>143</v>
      </c>
      <c r="H11" s="104" t="s">
        <v>56</v>
      </c>
      <c r="I11" s="115"/>
      <c r="J11" s="104"/>
      <c r="K11" s="104"/>
      <c r="L11" s="105"/>
    </row>
    <row r="12" spans="1:17" ht="16">
      <c r="A12" s="115"/>
      <c r="B12" s="103">
        <v>45029</v>
      </c>
      <c r="C12" s="104" t="s">
        <v>67</v>
      </c>
      <c r="D12" s="104" t="s">
        <v>68</v>
      </c>
      <c r="E12" s="115"/>
      <c r="F12" s="103">
        <v>45603</v>
      </c>
      <c r="G12" s="104" t="s">
        <v>144</v>
      </c>
      <c r="H12" s="104" t="s">
        <v>56</v>
      </c>
      <c r="I12" s="115"/>
      <c r="J12" s="104"/>
      <c r="K12" s="104"/>
      <c r="L12" s="105"/>
    </row>
    <row r="13" spans="1:17" ht="16">
      <c r="A13" s="115"/>
      <c r="B13" s="103">
        <v>45444</v>
      </c>
      <c r="C13" s="104" t="s">
        <v>72</v>
      </c>
      <c r="D13" s="104" t="s">
        <v>49</v>
      </c>
      <c r="E13" s="115"/>
      <c r="F13" s="103">
        <v>45606</v>
      </c>
      <c r="G13" s="104" t="s">
        <v>164</v>
      </c>
      <c r="H13" s="104" t="s">
        <v>56</v>
      </c>
      <c r="I13" s="115"/>
      <c r="J13" s="104"/>
      <c r="K13" s="104"/>
      <c r="L13" s="105"/>
    </row>
    <row r="14" spans="1:17" ht="16">
      <c r="A14" s="115"/>
      <c r="B14" s="103">
        <v>45550</v>
      </c>
      <c r="C14" s="104" t="s">
        <v>73</v>
      </c>
      <c r="D14" s="104" t="s">
        <v>56</v>
      </c>
      <c r="E14" s="115"/>
      <c r="F14" s="103">
        <v>45501</v>
      </c>
      <c r="G14" s="104" t="s">
        <v>59</v>
      </c>
      <c r="H14" s="104" t="s">
        <v>49</v>
      </c>
      <c r="I14" s="112" t="s">
        <v>9</v>
      </c>
      <c r="J14" s="111">
        <v>45419</v>
      </c>
      <c r="K14" s="110" t="s">
        <v>77</v>
      </c>
      <c r="L14" s="113" t="s">
        <v>56</v>
      </c>
    </row>
    <row r="15" spans="1:17" ht="16">
      <c r="A15" s="115"/>
      <c r="B15" s="103">
        <v>45550</v>
      </c>
      <c r="C15" s="104" t="s">
        <v>74</v>
      </c>
      <c r="D15" s="104" t="s">
        <v>56</v>
      </c>
      <c r="E15" s="115"/>
      <c r="F15" s="103">
        <v>45537</v>
      </c>
      <c r="G15" s="104" t="s">
        <v>69</v>
      </c>
      <c r="H15" s="104" t="s">
        <v>70</v>
      </c>
      <c r="I15" s="115"/>
      <c r="J15" s="103">
        <v>45580</v>
      </c>
      <c r="K15" s="104" t="s">
        <v>79</v>
      </c>
      <c r="L15" s="105" t="s">
        <v>49</v>
      </c>
    </row>
    <row r="16" spans="1:17" ht="16">
      <c r="A16" s="115"/>
      <c r="B16" s="103">
        <v>45603</v>
      </c>
      <c r="C16" s="104" t="s">
        <v>147</v>
      </c>
      <c r="D16" s="104" t="s">
        <v>56</v>
      </c>
      <c r="E16" s="115"/>
      <c r="F16" s="119">
        <v>45550</v>
      </c>
      <c r="G16" s="104" t="s">
        <v>62</v>
      </c>
      <c r="H16" s="104" t="s">
        <v>56</v>
      </c>
      <c r="I16" s="115"/>
      <c r="J16" s="103">
        <v>45580</v>
      </c>
      <c r="K16" s="104" t="s">
        <v>82</v>
      </c>
      <c r="L16" s="105" t="s">
        <v>49</v>
      </c>
    </row>
    <row r="17" spans="1:12" ht="16">
      <c r="A17" s="115"/>
      <c r="B17" s="103">
        <v>45603</v>
      </c>
      <c r="C17" s="104" t="s">
        <v>148</v>
      </c>
      <c r="D17" s="104" t="s">
        <v>56</v>
      </c>
      <c r="E17" s="115"/>
      <c r="F17" s="119"/>
      <c r="G17" s="104"/>
      <c r="H17" s="104"/>
      <c r="I17" s="115"/>
      <c r="J17" s="104"/>
      <c r="K17" s="104"/>
      <c r="L17" s="105"/>
    </row>
    <row r="18" spans="1:12" ht="16">
      <c r="A18" s="115"/>
      <c r="B18" s="103">
        <v>45606</v>
      </c>
      <c r="C18" s="104" t="s">
        <v>166</v>
      </c>
      <c r="D18" s="104" t="s">
        <v>56</v>
      </c>
      <c r="E18" s="115"/>
      <c r="F18" s="119"/>
      <c r="G18" s="104"/>
      <c r="H18" s="104"/>
      <c r="I18" s="115"/>
      <c r="J18" s="104"/>
      <c r="K18" s="104"/>
      <c r="L18" s="105"/>
    </row>
    <row r="19" spans="1:12" ht="16">
      <c r="A19" s="115"/>
      <c r="B19" s="103"/>
      <c r="C19" s="104"/>
      <c r="D19" s="104"/>
      <c r="E19" s="115"/>
      <c r="F19" s="119"/>
      <c r="G19" s="104"/>
      <c r="H19" s="104"/>
      <c r="I19" s="115"/>
      <c r="J19" s="104"/>
      <c r="K19" s="104"/>
      <c r="L19" s="105"/>
    </row>
    <row r="20" spans="1:12" ht="16">
      <c r="A20" s="115"/>
      <c r="B20" s="103"/>
      <c r="C20" s="104"/>
      <c r="D20" s="104"/>
      <c r="E20" s="112" t="s">
        <v>5</v>
      </c>
      <c r="F20" s="111">
        <v>45566</v>
      </c>
      <c r="G20" s="110" t="s">
        <v>145</v>
      </c>
      <c r="H20" s="110" t="s">
        <v>56</v>
      </c>
      <c r="I20" s="112" t="s">
        <v>12</v>
      </c>
      <c r="J20" s="111">
        <v>45224</v>
      </c>
      <c r="K20" s="110" t="s">
        <v>87</v>
      </c>
      <c r="L20" s="113" t="s">
        <v>100</v>
      </c>
    </row>
    <row r="21" spans="1:12" ht="16">
      <c r="A21" s="115"/>
      <c r="B21" s="103"/>
      <c r="C21" s="104"/>
      <c r="D21" s="104"/>
      <c r="E21" s="115"/>
      <c r="F21" s="103">
        <v>45603</v>
      </c>
      <c r="G21" s="104" t="s">
        <v>146</v>
      </c>
      <c r="H21" s="104" t="s">
        <v>56</v>
      </c>
      <c r="I21" s="108">
        <v>45419</v>
      </c>
      <c r="J21" s="111">
        <v>45429</v>
      </c>
      <c r="K21" s="110" t="s">
        <v>89</v>
      </c>
      <c r="L21" s="113" t="s">
        <v>56</v>
      </c>
    </row>
    <row r="22" spans="1:12" ht="16">
      <c r="A22" s="115"/>
      <c r="B22" s="103"/>
      <c r="C22" s="104"/>
      <c r="D22" s="104"/>
      <c r="E22" s="115"/>
      <c r="F22" s="103"/>
      <c r="G22" s="104"/>
      <c r="H22" s="104"/>
      <c r="I22" s="115"/>
      <c r="J22" s="103">
        <v>45445</v>
      </c>
      <c r="K22" s="104" t="s">
        <v>90</v>
      </c>
      <c r="L22" s="105" t="s">
        <v>49</v>
      </c>
    </row>
    <row r="23" spans="1:12" ht="16">
      <c r="A23" s="112" t="s">
        <v>7</v>
      </c>
      <c r="B23" s="111">
        <v>44996</v>
      </c>
      <c r="C23" s="110" t="s">
        <v>75</v>
      </c>
      <c r="D23" s="110" t="s">
        <v>65</v>
      </c>
      <c r="E23" s="115"/>
      <c r="F23" s="103"/>
      <c r="G23" s="104"/>
      <c r="H23" s="104"/>
      <c r="I23" s="108">
        <v>45453</v>
      </c>
      <c r="J23" s="103">
        <v>45537</v>
      </c>
      <c r="K23" s="104" t="s">
        <v>91</v>
      </c>
      <c r="L23" s="105" t="s">
        <v>70</v>
      </c>
    </row>
    <row r="24" spans="1:12" ht="16">
      <c r="A24" s="115"/>
      <c r="B24" s="103">
        <v>45419</v>
      </c>
      <c r="C24" s="104" t="s">
        <v>78</v>
      </c>
      <c r="D24" s="104" t="s">
        <v>56</v>
      </c>
      <c r="E24" s="115"/>
      <c r="F24" s="103"/>
      <c r="G24" s="104"/>
      <c r="H24" s="104"/>
      <c r="I24" s="115"/>
      <c r="J24" s="103">
        <v>45545</v>
      </c>
      <c r="K24" s="104" t="s">
        <v>92</v>
      </c>
      <c r="L24" s="105" t="s">
        <v>56</v>
      </c>
    </row>
    <row r="25" spans="1:12" ht="16">
      <c r="A25" s="108">
        <v>45047</v>
      </c>
      <c r="B25" s="103">
        <v>45441</v>
      </c>
      <c r="C25" s="104" t="s">
        <v>80</v>
      </c>
      <c r="D25" s="104" t="s">
        <v>81</v>
      </c>
      <c r="E25" s="112" t="s">
        <v>8</v>
      </c>
      <c r="F25" s="111">
        <v>45584</v>
      </c>
      <c r="G25" s="110" t="s">
        <v>76</v>
      </c>
      <c r="H25" s="110" t="s">
        <v>56</v>
      </c>
      <c r="I25" s="115"/>
      <c r="J25" s="103">
        <v>45553</v>
      </c>
      <c r="K25" s="104" t="s">
        <v>93</v>
      </c>
      <c r="L25" s="105" t="s">
        <v>160</v>
      </c>
    </row>
    <row r="26" spans="1:12" ht="16">
      <c r="A26" s="115"/>
      <c r="B26" s="103">
        <v>45442</v>
      </c>
      <c r="C26" s="104" t="s">
        <v>83</v>
      </c>
      <c r="D26" s="104" t="s">
        <v>84</v>
      </c>
      <c r="E26" s="115"/>
      <c r="F26" s="103">
        <v>45595</v>
      </c>
      <c r="G26" s="104" t="s">
        <v>133</v>
      </c>
      <c r="H26" s="104" t="s">
        <v>56</v>
      </c>
      <c r="I26" s="108">
        <v>45550</v>
      </c>
      <c r="J26" s="103">
        <v>45566</v>
      </c>
      <c r="K26" s="104" t="s">
        <v>94</v>
      </c>
      <c r="L26" s="121" t="s">
        <v>56</v>
      </c>
    </row>
    <row r="27" spans="1:12" ht="16">
      <c r="A27" s="115"/>
      <c r="B27" s="103">
        <v>45453</v>
      </c>
      <c r="C27" s="104" t="s">
        <v>85</v>
      </c>
      <c r="D27" s="104" t="s">
        <v>70</v>
      </c>
      <c r="E27" s="108">
        <v>45603</v>
      </c>
      <c r="F27" s="103">
        <v>45606</v>
      </c>
      <c r="G27" s="104" t="s">
        <v>150</v>
      </c>
      <c r="H27" s="104" t="s">
        <v>56</v>
      </c>
      <c r="I27" s="115"/>
      <c r="J27" s="103">
        <v>45580</v>
      </c>
      <c r="K27" s="104" t="s">
        <v>95</v>
      </c>
      <c r="L27" s="105" t="s">
        <v>49</v>
      </c>
    </row>
    <row r="28" spans="1:12" ht="16">
      <c r="A28" s="108"/>
      <c r="B28" s="103"/>
      <c r="C28" s="104"/>
      <c r="D28" s="104"/>
      <c r="E28" s="115"/>
      <c r="F28" s="103"/>
      <c r="G28" s="104"/>
      <c r="H28" s="104"/>
      <c r="I28" s="108">
        <v>45276</v>
      </c>
      <c r="J28" s="103">
        <v>45584</v>
      </c>
      <c r="K28" s="104" t="s">
        <v>96</v>
      </c>
      <c r="L28" s="121" t="s">
        <v>56</v>
      </c>
    </row>
    <row r="29" spans="1:12" ht="16">
      <c r="A29" s="115"/>
      <c r="B29" s="104"/>
      <c r="C29" s="104"/>
      <c r="D29" s="104"/>
      <c r="E29" s="115"/>
      <c r="F29" s="103"/>
      <c r="G29" s="104"/>
      <c r="H29" s="104"/>
      <c r="I29" s="108">
        <v>45276</v>
      </c>
      <c r="J29" s="103">
        <v>45589</v>
      </c>
      <c r="K29" s="104" t="s">
        <v>131</v>
      </c>
      <c r="L29" s="105" t="s">
        <v>56</v>
      </c>
    </row>
    <row r="30" spans="1:12" ht="16">
      <c r="A30" s="115"/>
      <c r="B30" s="104"/>
      <c r="C30" s="104"/>
      <c r="D30" s="104"/>
      <c r="E30" s="115"/>
      <c r="F30" s="103"/>
      <c r="G30" s="104"/>
      <c r="H30" s="104"/>
      <c r="I30" s="108"/>
      <c r="J30" s="103"/>
      <c r="K30" s="104"/>
      <c r="L30" s="105"/>
    </row>
    <row r="31" spans="1:12" ht="16">
      <c r="A31" s="112" t="s">
        <v>10</v>
      </c>
      <c r="B31" s="111">
        <v>45598</v>
      </c>
      <c r="C31" s="110" t="s">
        <v>134</v>
      </c>
      <c r="D31" s="110" t="s">
        <v>56</v>
      </c>
      <c r="E31" s="112" t="s">
        <v>11</v>
      </c>
      <c r="F31" s="111">
        <v>45472</v>
      </c>
      <c r="G31" s="110" t="s">
        <v>86</v>
      </c>
      <c r="H31" s="110" t="s">
        <v>70</v>
      </c>
      <c r="I31" s="108"/>
      <c r="J31" s="103"/>
      <c r="K31" s="104"/>
      <c r="L31" s="105"/>
    </row>
    <row r="32" spans="1:12" ht="16">
      <c r="A32" s="115"/>
      <c r="B32" s="104"/>
      <c r="C32" s="104"/>
      <c r="D32" s="104"/>
      <c r="E32" s="115"/>
      <c r="F32" s="111">
        <v>45553</v>
      </c>
      <c r="G32" s="110" t="s">
        <v>88</v>
      </c>
      <c r="H32" s="110" t="s">
        <v>160</v>
      </c>
      <c r="I32" s="108"/>
      <c r="J32" s="103"/>
      <c r="K32" s="104"/>
      <c r="L32" s="105"/>
    </row>
    <row r="33" spans="1:12" ht="16">
      <c r="A33" s="115"/>
      <c r="B33" s="104"/>
      <c r="C33" s="104"/>
      <c r="D33" s="104"/>
      <c r="E33" s="108">
        <v>45550</v>
      </c>
      <c r="F33" s="103">
        <v>45566</v>
      </c>
      <c r="G33" s="104" t="s">
        <v>149</v>
      </c>
      <c r="H33" s="120" t="s">
        <v>56</v>
      </c>
      <c r="I33" s="112" t="s">
        <v>15</v>
      </c>
      <c r="J33" s="111"/>
      <c r="K33" s="110"/>
      <c r="L33" s="113"/>
    </row>
    <row r="34" spans="1:12" ht="16">
      <c r="A34" s="115"/>
      <c r="B34" s="104"/>
      <c r="C34" s="104"/>
      <c r="D34" s="104"/>
      <c r="E34" s="108"/>
      <c r="F34" s="103"/>
      <c r="G34" s="104"/>
      <c r="H34" s="104"/>
      <c r="I34" s="127">
        <v>45445</v>
      </c>
      <c r="J34" s="101">
        <v>45550</v>
      </c>
      <c r="K34" s="102" t="s">
        <v>98</v>
      </c>
      <c r="L34" s="107" t="s">
        <v>56</v>
      </c>
    </row>
    <row r="35" spans="1:12" ht="16">
      <c r="A35" s="112" t="s">
        <v>13</v>
      </c>
      <c r="B35" s="111">
        <v>45425</v>
      </c>
      <c r="C35" s="110" t="s">
        <v>97</v>
      </c>
      <c r="D35" s="110" t="s">
        <v>70</v>
      </c>
      <c r="E35" s="115"/>
      <c r="F35" s="103"/>
      <c r="G35" s="104"/>
      <c r="H35" s="120"/>
      <c r="I35" s="115"/>
      <c r="J35" s="119">
        <v>45581</v>
      </c>
      <c r="K35" s="104" t="s">
        <v>101</v>
      </c>
      <c r="L35" s="121" t="s">
        <v>49</v>
      </c>
    </row>
    <row r="36" spans="1:12" ht="16">
      <c r="A36" s="108">
        <v>44958</v>
      </c>
      <c r="B36" s="103">
        <v>45556</v>
      </c>
      <c r="C36" s="104" t="s">
        <v>99</v>
      </c>
      <c r="D36" s="104" t="s">
        <v>100</v>
      </c>
      <c r="E36" s="115"/>
      <c r="F36" s="104"/>
      <c r="G36" s="104"/>
      <c r="H36" s="104"/>
      <c r="I36" s="115"/>
      <c r="J36" s="119"/>
      <c r="K36" s="104"/>
      <c r="L36" s="121"/>
    </row>
    <row r="37" spans="1:12" ht="16">
      <c r="A37" s="115"/>
      <c r="B37" s="103">
        <v>45595</v>
      </c>
      <c r="C37" s="104" t="s">
        <v>132</v>
      </c>
      <c r="D37" s="104" t="s">
        <v>56</v>
      </c>
      <c r="E37" s="115"/>
      <c r="F37" s="104"/>
      <c r="G37" s="104"/>
      <c r="H37" s="104"/>
      <c r="I37" s="115"/>
      <c r="J37" s="119"/>
      <c r="K37" s="104"/>
      <c r="L37" s="121"/>
    </row>
    <row r="38" spans="1:12" ht="16">
      <c r="A38" s="115"/>
      <c r="B38" s="104"/>
      <c r="C38" s="104"/>
      <c r="D38" s="104"/>
      <c r="E38" s="115"/>
      <c r="F38" s="104"/>
      <c r="G38" s="104"/>
      <c r="H38" s="104"/>
      <c r="I38" s="115"/>
      <c r="J38" s="119"/>
      <c r="K38" s="104"/>
      <c r="L38" s="121"/>
    </row>
    <row r="39" spans="1:12" ht="16">
      <c r="A39" s="115"/>
      <c r="B39" s="104"/>
      <c r="C39" s="104"/>
      <c r="D39" s="104"/>
      <c r="E39" s="112" t="s">
        <v>14</v>
      </c>
      <c r="F39" s="110"/>
      <c r="G39" s="110"/>
      <c r="H39" s="110"/>
      <c r="I39" s="112" t="s">
        <v>18</v>
      </c>
      <c r="J39" s="110"/>
      <c r="K39" s="110"/>
      <c r="L39" s="113"/>
    </row>
    <row r="40" spans="1:12" ht="16">
      <c r="A40" s="115"/>
      <c r="B40" s="104"/>
      <c r="C40" s="104"/>
      <c r="D40" s="104"/>
      <c r="E40" s="115"/>
      <c r="F40" s="104"/>
      <c r="G40" s="104"/>
      <c r="H40" s="104"/>
      <c r="I40" s="115"/>
      <c r="J40" s="110"/>
      <c r="K40" s="110"/>
      <c r="L40" s="113"/>
    </row>
    <row r="41" spans="1:12" ht="16">
      <c r="A41" s="112" t="s">
        <v>16</v>
      </c>
      <c r="B41" s="110"/>
      <c r="C41" s="110"/>
      <c r="D41" s="110"/>
      <c r="E41" s="115"/>
      <c r="F41" s="104"/>
      <c r="G41" s="104"/>
      <c r="H41" s="104"/>
      <c r="I41" s="115"/>
      <c r="J41" s="104"/>
      <c r="K41" s="104"/>
      <c r="L41" s="105"/>
    </row>
    <row r="42" spans="1:12" ht="16">
      <c r="A42" s="115"/>
      <c r="B42" s="104"/>
      <c r="C42" s="104"/>
      <c r="D42" s="104"/>
      <c r="E42" s="115"/>
      <c r="F42" s="104"/>
      <c r="G42" s="104"/>
      <c r="H42" s="104"/>
      <c r="I42" s="115"/>
      <c r="J42" s="101"/>
      <c r="K42" s="102"/>
      <c r="L42" s="107"/>
    </row>
    <row r="43" spans="1:12" ht="16">
      <c r="A43" s="115"/>
      <c r="B43" s="104"/>
      <c r="C43" s="104"/>
      <c r="D43" s="104"/>
      <c r="E43" s="115"/>
      <c r="F43" s="104"/>
      <c r="G43" s="104"/>
      <c r="H43" s="104"/>
      <c r="I43" s="112" t="s">
        <v>126</v>
      </c>
      <c r="J43" s="110"/>
      <c r="K43" s="110"/>
      <c r="L43" s="113"/>
    </row>
    <row r="44" spans="1:12" ht="16">
      <c r="A44" s="115"/>
      <c r="B44" s="104"/>
      <c r="C44" s="104"/>
      <c r="D44" s="104"/>
      <c r="E44" s="112" t="s">
        <v>17</v>
      </c>
      <c r="F44" s="110"/>
      <c r="G44" s="110"/>
      <c r="H44" s="110"/>
      <c r="I44" s="115"/>
      <c r="J44" s="110"/>
      <c r="K44" s="110"/>
      <c r="L44" s="113"/>
    </row>
    <row r="45" spans="1:12" ht="16">
      <c r="A45" s="112" t="s">
        <v>19</v>
      </c>
      <c r="B45" s="110"/>
      <c r="C45" s="110"/>
      <c r="D45" s="110"/>
      <c r="E45" s="115"/>
      <c r="F45" s="104"/>
      <c r="G45" s="104"/>
      <c r="H45" s="104"/>
      <c r="I45" s="115"/>
      <c r="J45" s="110"/>
      <c r="K45" s="110"/>
      <c r="L45" s="113"/>
    </row>
    <row r="46" spans="1:12" ht="16">
      <c r="A46" s="115"/>
      <c r="B46" s="104"/>
      <c r="C46" s="104"/>
      <c r="D46" s="104"/>
      <c r="E46" s="115"/>
      <c r="F46" s="104"/>
      <c r="G46" s="104"/>
      <c r="H46" s="104"/>
      <c r="I46" s="117"/>
      <c r="J46" s="123"/>
      <c r="K46" s="123"/>
      <c r="L46" s="124"/>
    </row>
    <row r="47" spans="1:12" ht="16">
      <c r="A47" s="115"/>
      <c r="B47" s="104"/>
      <c r="C47" s="104"/>
      <c r="D47" s="118"/>
      <c r="E47" s="115"/>
      <c r="F47" s="110"/>
      <c r="G47" s="110"/>
      <c r="H47" s="113"/>
      <c r="I47" s="106" t="s">
        <v>127</v>
      </c>
      <c r="J47" s="114"/>
      <c r="K47" s="114"/>
      <c r="L47" s="122"/>
    </row>
    <row r="48" spans="1:12" ht="16">
      <c r="A48" s="117"/>
      <c r="B48" s="118"/>
      <c r="C48" s="118"/>
      <c r="D48" s="118"/>
      <c r="E48" s="112" t="s">
        <v>102</v>
      </c>
      <c r="F48" s="110"/>
      <c r="G48" s="110"/>
      <c r="H48" s="113"/>
      <c r="J48" s="125"/>
      <c r="K48" s="125"/>
      <c r="L48" s="126"/>
    </row>
    <row r="49" spans="1:12" ht="16">
      <c r="A49" s="106" t="s">
        <v>127</v>
      </c>
      <c r="B49" s="104"/>
      <c r="C49" s="104"/>
      <c r="D49" s="104"/>
      <c r="E49" s="115"/>
      <c r="F49" s="110"/>
      <c r="G49" s="110"/>
      <c r="H49" s="113"/>
      <c r="J49" s="114"/>
      <c r="K49" s="114"/>
      <c r="L49" s="122"/>
    </row>
    <row r="50" spans="1:12" ht="16">
      <c r="E50" s="115"/>
      <c r="F50" s="104"/>
      <c r="G50" s="104"/>
      <c r="H50" s="105"/>
      <c r="J50" s="114"/>
      <c r="K50" s="114"/>
      <c r="L50" s="122"/>
    </row>
    <row r="51" spans="1:12" ht="16">
      <c r="E51" s="117"/>
      <c r="F51" s="123"/>
      <c r="G51" s="123"/>
      <c r="H51" s="124"/>
      <c r="J51" s="123"/>
      <c r="K51" s="123"/>
      <c r="L51" s="124"/>
    </row>
    <row r="52" spans="1:12" ht="16">
      <c r="E52" s="106" t="s">
        <v>127</v>
      </c>
      <c r="F52" s="114"/>
      <c r="G52" s="114"/>
      <c r="H52" s="122"/>
    </row>
    <row r="53" spans="1:12" ht="16">
      <c r="F53" s="114"/>
      <c r="G53" s="114"/>
      <c r="H53" s="122"/>
    </row>
    <row r="54" spans="1:12" ht="16">
      <c r="F54" s="114"/>
      <c r="G54" s="114"/>
      <c r="H54" s="122"/>
    </row>
    <row r="55" spans="1:12" ht="16">
      <c r="F55" s="114"/>
      <c r="G55" s="114"/>
      <c r="H55" s="122"/>
    </row>
    <row r="56" spans="1:12" ht="16">
      <c r="F56" s="125"/>
      <c r="G56" s="125"/>
      <c r="H56" s="126"/>
    </row>
    <row r="57" spans="1:12" ht="16">
      <c r="F57" s="114"/>
      <c r="G57" s="114"/>
      <c r="H57" s="122"/>
    </row>
    <row r="58" spans="1:12" ht="16">
      <c r="F58" s="114"/>
      <c r="G58" s="114"/>
      <c r="H58" s="122"/>
    </row>
    <row r="59" spans="1:12" ht="16">
      <c r="F59" s="123"/>
      <c r="G59" s="123"/>
      <c r="H59" s="124"/>
    </row>
    <row r="60" spans="1:12" ht="16"/>
    <row r="61" spans="1:12" ht="16"/>
    <row r="62" spans="1:12" ht="16"/>
    <row r="63" spans="1:12" ht="16"/>
    <row r="64" spans="1:12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L74"/>
  <sheetViews>
    <sheetView workbookViewId="0">
      <selection activeCell="A2" sqref="A2"/>
    </sheetView>
  </sheetViews>
  <sheetFormatPr baseColWidth="10" defaultRowHeight="16"/>
  <cols>
    <col min="1" max="1" width="9.33203125" customWidth="1"/>
    <col min="3" max="3" width="22.1640625" customWidth="1"/>
  </cols>
  <sheetData>
    <row r="1" spans="1:12">
      <c r="A1" s="83" t="s">
        <v>129</v>
      </c>
      <c r="B1" s="83" t="s">
        <v>130</v>
      </c>
      <c r="C1" s="83" t="s">
        <v>138</v>
      </c>
      <c r="D1" t="s">
        <v>135</v>
      </c>
      <c r="E1" t="s">
        <v>137</v>
      </c>
      <c r="F1" t="s">
        <v>136</v>
      </c>
      <c r="G1" s="83" t="s">
        <v>157</v>
      </c>
    </row>
    <row r="2" spans="1:12">
      <c r="A2" s="94" t="s">
        <v>42</v>
      </c>
      <c r="B2" s="95" t="s">
        <v>162</v>
      </c>
      <c r="C2" s="94" t="s">
        <v>163</v>
      </c>
      <c r="D2" s="96" t="s">
        <v>26</v>
      </c>
      <c r="E2" s="96" t="s">
        <v>24</v>
      </c>
      <c r="F2" s="96" t="s">
        <v>25</v>
      </c>
    </row>
    <row r="3" spans="1:12">
      <c r="A3" s="90"/>
      <c r="B3" s="91"/>
      <c r="C3" s="90"/>
      <c r="D3" s="90"/>
      <c r="E3" s="90"/>
      <c r="F3" s="90"/>
      <c r="H3" s="83" t="s">
        <v>158</v>
      </c>
    </row>
    <row r="4" spans="1:12">
      <c r="A4" s="83" t="s">
        <v>34</v>
      </c>
      <c r="B4" s="92" t="s">
        <v>42</v>
      </c>
      <c r="C4" s="83" t="s">
        <v>43</v>
      </c>
      <c r="D4" s="83" t="s">
        <v>44</v>
      </c>
      <c r="H4" t="s">
        <v>161</v>
      </c>
    </row>
    <row r="5" spans="1:12">
      <c r="A5" t="s">
        <v>6</v>
      </c>
      <c r="B5" s="85">
        <v>45606</v>
      </c>
      <c r="C5" t="s">
        <v>165</v>
      </c>
      <c r="D5" t="s">
        <v>56</v>
      </c>
    </row>
    <row r="6" spans="1:12">
      <c r="A6" t="s">
        <v>8</v>
      </c>
      <c r="B6" s="85">
        <v>45606</v>
      </c>
      <c r="C6" t="s">
        <v>150</v>
      </c>
      <c r="D6" t="s">
        <v>56</v>
      </c>
    </row>
    <row r="7" spans="1:12">
      <c r="A7" t="s">
        <v>2</v>
      </c>
      <c r="B7" s="85">
        <v>45606</v>
      </c>
      <c r="C7" t="s">
        <v>164</v>
      </c>
      <c r="D7" t="s">
        <v>56</v>
      </c>
    </row>
    <row r="8" spans="1:12">
      <c r="A8" t="s">
        <v>4</v>
      </c>
      <c r="B8" s="85">
        <v>45606</v>
      </c>
      <c r="C8" t="s">
        <v>166</v>
      </c>
      <c r="D8" t="s">
        <v>56</v>
      </c>
    </row>
    <row r="9" spans="1:12">
      <c r="A9" t="s">
        <v>5</v>
      </c>
      <c r="B9" s="85">
        <v>45603</v>
      </c>
      <c r="C9" t="s">
        <v>146</v>
      </c>
      <c r="D9" t="s">
        <v>56</v>
      </c>
    </row>
    <row r="10" spans="1:12">
      <c r="A10" t="s">
        <v>2</v>
      </c>
      <c r="B10" s="85">
        <v>45603</v>
      </c>
      <c r="C10" t="s">
        <v>144</v>
      </c>
      <c r="D10" t="s">
        <v>56</v>
      </c>
    </row>
    <row r="11" spans="1:12">
      <c r="A11" t="s">
        <v>2</v>
      </c>
      <c r="B11" s="85">
        <v>45603</v>
      </c>
      <c r="C11" t="s">
        <v>143</v>
      </c>
      <c r="D11" t="s">
        <v>56</v>
      </c>
      <c r="L11" s="83"/>
    </row>
    <row r="12" spans="1:12">
      <c r="A12" t="s">
        <v>2</v>
      </c>
      <c r="B12" s="85">
        <v>45603</v>
      </c>
      <c r="C12" t="s">
        <v>142</v>
      </c>
      <c r="D12" t="s">
        <v>56</v>
      </c>
    </row>
    <row r="13" spans="1:12">
      <c r="A13" t="s">
        <v>2</v>
      </c>
      <c r="B13" s="85">
        <v>45603</v>
      </c>
      <c r="C13" t="s">
        <v>141</v>
      </c>
      <c r="D13" t="s">
        <v>56</v>
      </c>
      <c r="L13" s="83"/>
    </row>
    <row r="14" spans="1:12">
      <c r="A14" t="s">
        <v>4</v>
      </c>
      <c r="B14" s="85">
        <v>45603</v>
      </c>
      <c r="C14" t="s">
        <v>148</v>
      </c>
      <c r="D14" t="s">
        <v>56</v>
      </c>
    </row>
    <row r="15" spans="1:12">
      <c r="A15" t="s">
        <v>4</v>
      </c>
      <c r="B15" s="85">
        <v>45603</v>
      </c>
      <c r="C15" t="s">
        <v>147</v>
      </c>
      <c r="D15" t="s">
        <v>56</v>
      </c>
    </row>
    <row r="16" spans="1:12">
      <c r="A16" t="s">
        <v>10</v>
      </c>
      <c r="B16" s="85">
        <v>45598</v>
      </c>
      <c r="C16" t="s">
        <v>134</v>
      </c>
      <c r="D16" t="s">
        <v>56</v>
      </c>
    </row>
    <row r="17" spans="1:4">
      <c r="A17" t="s">
        <v>8</v>
      </c>
      <c r="B17" s="85">
        <v>45595</v>
      </c>
      <c r="C17" t="s">
        <v>133</v>
      </c>
      <c r="D17" t="s">
        <v>56</v>
      </c>
    </row>
    <row r="18" spans="1:4">
      <c r="A18" t="s">
        <v>13</v>
      </c>
      <c r="B18" s="85">
        <v>45595</v>
      </c>
      <c r="C18" t="s">
        <v>132</v>
      </c>
      <c r="D18" t="s">
        <v>56</v>
      </c>
    </row>
    <row r="19" spans="1:4">
      <c r="A19" t="s">
        <v>1</v>
      </c>
      <c r="B19" s="85">
        <v>45595</v>
      </c>
      <c r="C19" t="s">
        <v>140</v>
      </c>
      <c r="D19" t="s">
        <v>56</v>
      </c>
    </row>
    <row r="20" spans="1:4">
      <c r="A20" t="s">
        <v>12</v>
      </c>
      <c r="B20" s="85">
        <v>45589</v>
      </c>
      <c r="C20" t="s">
        <v>131</v>
      </c>
      <c r="D20" t="s">
        <v>56</v>
      </c>
    </row>
    <row r="21" spans="1:4">
      <c r="A21" t="s">
        <v>12</v>
      </c>
      <c r="B21" s="85">
        <v>45584</v>
      </c>
      <c r="C21" t="s">
        <v>96</v>
      </c>
      <c r="D21" t="s">
        <v>56</v>
      </c>
    </row>
    <row r="22" spans="1:4">
      <c r="A22" t="s">
        <v>8</v>
      </c>
      <c r="B22" s="85">
        <v>45584</v>
      </c>
      <c r="C22" t="s">
        <v>76</v>
      </c>
      <c r="D22" t="s">
        <v>56</v>
      </c>
    </row>
    <row r="23" spans="1:4">
      <c r="A23" t="s">
        <v>15</v>
      </c>
      <c r="B23" s="85">
        <v>45581</v>
      </c>
      <c r="C23" t="s">
        <v>101</v>
      </c>
      <c r="D23" t="s">
        <v>49</v>
      </c>
    </row>
    <row r="24" spans="1:4">
      <c r="A24" t="s">
        <v>12</v>
      </c>
      <c r="B24" s="85">
        <v>45580</v>
      </c>
      <c r="C24" t="s">
        <v>95</v>
      </c>
      <c r="D24" t="s">
        <v>49</v>
      </c>
    </row>
    <row r="25" spans="1:4">
      <c r="A25" t="s">
        <v>9</v>
      </c>
      <c r="B25" s="85">
        <v>45580</v>
      </c>
      <c r="C25" t="s">
        <v>82</v>
      </c>
      <c r="D25" t="s">
        <v>49</v>
      </c>
    </row>
    <row r="26" spans="1:4">
      <c r="A26" t="s">
        <v>9</v>
      </c>
      <c r="B26" s="85">
        <v>45580</v>
      </c>
      <c r="C26" t="s">
        <v>79</v>
      </c>
      <c r="D26" t="s">
        <v>49</v>
      </c>
    </row>
    <row r="27" spans="1:4">
      <c r="A27" t="s">
        <v>12</v>
      </c>
      <c r="B27" s="85">
        <v>45566</v>
      </c>
      <c r="C27" t="s">
        <v>94</v>
      </c>
      <c r="D27" t="s">
        <v>56</v>
      </c>
    </row>
    <row r="28" spans="1:4">
      <c r="A28" t="s">
        <v>11</v>
      </c>
      <c r="B28" s="85">
        <v>45566</v>
      </c>
      <c r="C28" t="s">
        <v>149</v>
      </c>
      <c r="D28" t="s">
        <v>56</v>
      </c>
    </row>
    <row r="29" spans="1:4">
      <c r="A29" t="s">
        <v>5</v>
      </c>
      <c r="B29" s="85">
        <v>45566</v>
      </c>
      <c r="C29" t="s">
        <v>145</v>
      </c>
      <c r="D29" t="s">
        <v>56</v>
      </c>
    </row>
    <row r="30" spans="1:4">
      <c r="A30" t="s">
        <v>13</v>
      </c>
      <c r="B30" s="85">
        <v>45556</v>
      </c>
      <c r="C30" t="s">
        <v>99</v>
      </c>
      <c r="D30" t="s">
        <v>100</v>
      </c>
    </row>
    <row r="31" spans="1:4">
      <c r="A31" t="s">
        <v>12</v>
      </c>
      <c r="B31" s="85">
        <v>45553</v>
      </c>
      <c r="C31" t="s">
        <v>93</v>
      </c>
      <c r="D31" t="s">
        <v>160</v>
      </c>
    </row>
    <row r="32" spans="1:4">
      <c r="A32" t="s">
        <v>11</v>
      </c>
      <c r="B32" s="85">
        <v>45553</v>
      </c>
      <c r="C32" t="s">
        <v>88</v>
      </c>
      <c r="D32" t="s">
        <v>160</v>
      </c>
    </row>
    <row r="33" spans="1:4">
      <c r="A33" t="s">
        <v>15</v>
      </c>
      <c r="B33" s="85">
        <v>45550</v>
      </c>
      <c r="C33" t="s">
        <v>98</v>
      </c>
      <c r="D33" t="s">
        <v>56</v>
      </c>
    </row>
    <row r="34" spans="1:4">
      <c r="A34" t="s">
        <v>5</v>
      </c>
      <c r="B34" s="85">
        <v>45550</v>
      </c>
      <c r="C34" t="s">
        <v>62</v>
      </c>
      <c r="D34" t="s">
        <v>56</v>
      </c>
    </row>
    <row r="35" spans="1:4">
      <c r="A35" t="s">
        <v>4</v>
      </c>
      <c r="B35" s="85">
        <v>45550</v>
      </c>
      <c r="C35" t="s">
        <v>74</v>
      </c>
      <c r="D35" t="s">
        <v>56</v>
      </c>
    </row>
    <row r="36" spans="1:4">
      <c r="A36" t="s">
        <v>4</v>
      </c>
      <c r="B36" s="85">
        <v>45550</v>
      </c>
      <c r="C36" t="s">
        <v>73</v>
      </c>
      <c r="D36" t="s">
        <v>56</v>
      </c>
    </row>
    <row r="37" spans="1:4">
      <c r="A37" t="s">
        <v>12</v>
      </c>
      <c r="B37" s="85">
        <v>45545</v>
      </c>
      <c r="C37" t="s">
        <v>92</v>
      </c>
      <c r="D37" t="s">
        <v>56</v>
      </c>
    </row>
    <row r="38" spans="1:4">
      <c r="A38" t="s">
        <v>1</v>
      </c>
      <c r="B38" s="85">
        <v>45545</v>
      </c>
      <c r="C38" t="s">
        <v>139</v>
      </c>
      <c r="D38" t="s">
        <v>56</v>
      </c>
    </row>
    <row r="39" spans="1:4">
      <c r="A39" t="s">
        <v>12</v>
      </c>
      <c r="B39" s="85">
        <v>45537</v>
      </c>
      <c r="C39" t="s">
        <v>91</v>
      </c>
      <c r="D39" t="s">
        <v>70</v>
      </c>
    </row>
    <row r="40" spans="1:4">
      <c r="A40" t="s">
        <v>6</v>
      </c>
      <c r="B40" s="85">
        <v>45537</v>
      </c>
      <c r="C40" t="s">
        <v>71</v>
      </c>
      <c r="D40" t="s">
        <v>70</v>
      </c>
    </row>
    <row r="41" spans="1:4">
      <c r="A41" t="s">
        <v>5</v>
      </c>
      <c r="B41" s="85">
        <v>45537</v>
      </c>
      <c r="C41" t="s">
        <v>69</v>
      </c>
      <c r="D41" t="s">
        <v>70</v>
      </c>
    </row>
    <row r="42" spans="1:4">
      <c r="A42" t="s">
        <v>2</v>
      </c>
      <c r="B42" s="85">
        <v>45505</v>
      </c>
      <c r="C42" t="s">
        <v>57</v>
      </c>
      <c r="D42" t="s">
        <v>56</v>
      </c>
    </row>
    <row r="43" spans="1:4">
      <c r="A43" t="s">
        <v>6</v>
      </c>
      <c r="B43" s="85">
        <v>45501</v>
      </c>
      <c r="C43" t="s">
        <v>66</v>
      </c>
      <c r="D43" t="s">
        <v>49</v>
      </c>
    </row>
    <row r="44" spans="1:4">
      <c r="A44" t="s">
        <v>3</v>
      </c>
      <c r="B44" s="85">
        <v>45501</v>
      </c>
      <c r="C44" t="s">
        <v>48</v>
      </c>
      <c r="D44" t="s">
        <v>49</v>
      </c>
    </row>
    <row r="45" spans="1:4">
      <c r="A45" t="s">
        <v>5</v>
      </c>
      <c r="B45" s="85">
        <v>45501</v>
      </c>
      <c r="C45" t="s">
        <v>59</v>
      </c>
      <c r="D45" t="s">
        <v>49</v>
      </c>
    </row>
    <row r="46" spans="1:4">
      <c r="A46" t="s">
        <v>1</v>
      </c>
      <c r="B46" s="85">
        <v>45501</v>
      </c>
      <c r="C46" t="s">
        <v>50</v>
      </c>
      <c r="D46" t="s">
        <v>49</v>
      </c>
    </row>
    <row r="47" spans="1:4">
      <c r="A47" t="s">
        <v>11</v>
      </c>
      <c r="B47" s="85">
        <v>45472</v>
      </c>
      <c r="C47" t="s">
        <v>86</v>
      </c>
      <c r="D47" t="s">
        <v>70</v>
      </c>
    </row>
    <row r="48" spans="1:4">
      <c r="A48" t="s">
        <v>2</v>
      </c>
      <c r="B48" s="85">
        <v>45097</v>
      </c>
      <c r="C48" t="s">
        <v>55</v>
      </c>
      <c r="D48" t="s">
        <v>56</v>
      </c>
    </row>
    <row r="49" spans="1:4">
      <c r="A49" t="s">
        <v>2</v>
      </c>
      <c r="B49" s="85">
        <v>45453</v>
      </c>
      <c r="C49" t="s">
        <v>54</v>
      </c>
      <c r="D49" t="s">
        <v>70</v>
      </c>
    </row>
    <row r="50" spans="1:4">
      <c r="A50" t="s">
        <v>7</v>
      </c>
      <c r="B50" s="85">
        <v>45453</v>
      </c>
      <c r="C50" t="s">
        <v>85</v>
      </c>
      <c r="D50" t="s">
        <v>70</v>
      </c>
    </row>
    <row r="51" spans="1:4">
      <c r="A51" t="s">
        <v>12</v>
      </c>
      <c r="B51" s="85">
        <v>45445</v>
      </c>
      <c r="C51" t="s">
        <v>90</v>
      </c>
      <c r="D51" t="s">
        <v>49</v>
      </c>
    </row>
    <row r="52" spans="1:4">
      <c r="A52" t="s">
        <v>6</v>
      </c>
      <c r="B52" s="85">
        <v>45445</v>
      </c>
      <c r="C52" t="s">
        <v>63</v>
      </c>
      <c r="D52" t="s">
        <v>49</v>
      </c>
    </row>
    <row r="53" spans="1:4">
      <c r="A53" t="s">
        <v>4</v>
      </c>
      <c r="B53" s="85">
        <v>45444</v>
      </c>
      <c r="C53" t="s">
        <v>72</v>
      </c>
      <c r="D53" t="s">
        <v>49</v>
      </c>
    </row>
    <row r="54" spans="1:4">
      <c r="A54" t="s">
        <v>7</v>
      </c>
      <c r="B54" s="85">
        <v>45442</v>
      </c>
      <c r="C54" t="s">
        <v>83</v>
      </c>
      <c r="D54" t="s">
        <v>84</v>
      </c>
    </row>
    <row r="55" spans="1:4">
      <c r="A55" t="s">
        <v>7</v>
      </c>
      <c r="B55" s="85">
        <v>45441</v>
      </c>
      <c r="C55" t="s">
        <v>80</v>
      </c>
      <c r="D55" t="s">
        <v>81</v>
      </c>
    </row>
    <row r="56" spans="1:4">
      <c r="A56" t="s">
        <v>12</v>
      </c>
      <c r="B56" s="85">
        <v>45429</v>
      </c>
      <c r="C56" t="s">
        <v>89</v>
      </c>
      <c r="D56" t="s">
        <v>56</v>
      </c>
    </row>
    <row r="57" spans="1:4">
      <c r="A57" t="s">
        <v>13</v>
      </c>
      <c r="B57" s="85">
        <v>45425</v>
      </c>
      <c r="C57" t="s">
        <v>97</v>
      </c>
      <c r="D57" t="s">
        <v>70</v>
      </c>
    </row>
    <row r="58" spans="1:4">
      <c r="A58" t="s">
        <v>9</v>
      </c>
      <c r="B58" s="85">
        <v>45419</v>
      </c>
      <c r="C58" t="s">
        <v>77</v>
      </c>
      <c r="D58" t="s">
        <v>56</v>
      </c>
    </row>
    <row r="59" spans="1:4">
      <c r="A59" t="s">
        <v>7</v>
      </c>
      <c r="B59" s="85">
        <v>45419</v>
      </c>
      <c r="C59" t="s">
        <v>78</v>
      </c>
      <c r="D59" t="s">
        <v>56</v>
      </c>
    </row>
    <row r="60" spans="1:4">
      <c r="A60" t="s">
        <v>12</v>
      </c>
      <c r="B60" s="85">
        <v>45224</v>
      </c>
      <c r="C60" t="s">
        <v>87</v>
      </c>
      <c r="D60" t="s">
        <v>100</v>
      </c>
    </row>
    <row r="61" spans="1:4">
      <c r="A61" t="s">
        <v>6</v>
      </c>
      <c r="B61" s="85">
        <v>45224</v>
      </c>
      <c r="C61" t="s">
        <v>60</v>
      </c>
      <c r="D61" t="s">
        <v>100</v>
      </c>
    </row>
    <row r="62" spans="1:4">
      <c r="A62" t="s">
        <v>4</v>
      </c>
      <c r="B62" s="85">
        <v>45029</v>
      </c>
      <c r="C62" t="s">
        <v>67</v>
      </c>
      <c r="D62" t="s">
        <v>68</v>
      </c>
    </row>
    <row r="63" spans="1:4">
      <c r="A63" t="s">
        <v>7</v>
      </c>
      <c r="B63" s="85">
        <v>44996</v>
      </c>
      <c r="C63" t="s">
        <v>75</v>
      </c>
      <c r="D63" t="s">
        <v>65</v>
      </c>
    </row>
    <row r="64" spans="1:4">
      <c r="A64" t="s">
        <v>4</v>
      </c>
      <c r="B64" s="85">
        <v>44996</v>
      </c>
      <c r="C64" t="s">
        <v>64</v>
      </c>
      <c r="D64" t="s">
        <v>65</v>
      </c>
    </row>
    <row r="65" spans="1:4">
      <c r="A65" t="s">
        <v>2</v>
      </c>
      <c r="B65" s="85">
        <v>44791</v>
      </c>
      <c r="C65" t="s">
        <v>53</v>
      </c>
      <c r="D65" t="s">
        <v>46</v>
      </c>
    </row>
    <row r="66" spans="1:4">
      <c r="A66" t="s">
        <v>2</v>
      </c>
      <c r="B66" s="85">
        <v>44791</v>
      </c>
      <c r="C66" t="s">
        <v>52</v>
      </c>
      <c r="D66" t="s">
        <v>46</v>
      </c>
    </row>
    <row r="67" spans="1:4">
      <c r="A67" t="s">
        <v>2</v>
      </c>
      <c r="B67" s="85">
        <v>44791</v>
      </c>
      <c r="C67" t="s">
        <v>51</v>
      </c>
      <c r="D67" t="s">
        <v>46</v>
      </c>
    </row>
    <row r="68" spans="1:4">
      <c r="A68" t="s">
        <v>2</v>
      </c>
      <c r="B68" s="85">
        <v>44791</v>
      </c>
      <c r="C68" t="s">
        <v>47</v>
      </c>
      <c r="D68" t="s">
        <v>46</v>
      </c>
    </row>
    <row r="69" spans="1:4">
      <c r="A69" t="s">
        <v>4</v>
      </c>
      <c r="B69" s="85">
        <v>44791</v>
      </c>
      <c r="C69" t="s">
        <v>61</v>
      </c>
      <c r="D69" t="s">
        <v>46</v>
      </c>
    </row>
    <row r="70" spans="1:4">
      <c r="A70" t="s">
        <v>1</v>
      </c>
      <c r="B70" s="85">
        <v>44791</v>
      </c>
      <c r="C70" t="s">
        <v>45</v>
      </c>
      <c r="D70" t="s">
        <v>46</v>
      </c>
    </row>
    <row r="71" spans="1:4">
      <c r="A71" t="s">
        <v>4</v>
      </c>
      <c r="B71" s="85">
        <v>44781</v>
      </c>
      <c r="C71" t="s">
        <v>58</v>
      </c>
      <c r="D71" t="s">
        <v>159</v>
      </c>
    </row>
    <row r="72" spans="1:4">
      <c r="B72" s="85"/>
    </row>
    <row r="73" spans="1:4">
      <c r="B73" s="85"/>
    </row>
    <row r="74" spans="1:4">
      <c r="B74" s="85"/>
    </row>
  </sheetData>
  <dataValidations count="3">
    <dataValidation type="list" allowBlank="1" showInputMessage="1" showErrorMessage="1" sqref="A2" xr:uid="{4D6CB978-3E33-5F47-9706-0188DAB18D43}">
      <formula1>"Clear, V-Grade, Date, Location"</formula1>
    </dataValidation>
    <dataValidation type="list" allowBlank="1" showInputMessage="1" showErrorMessage="1" sqref="B2" xr:uid="{7088DE9F-849F-C345-96CD-03DA6BE10FF7}">
      <formula1>"'---,Onsight,Flash,One Sesh,Project"</formula1>
    </dataValidation>
    <dataValidation type="list" allowBlank="1" showInputMessage="1" showErrorMessage="1" sqref="C2" xr:uid="{5F51DEDB-24E9-4645-8012-4F2898EEA70B}">
      <formula1>"Ascending,Descending"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Project Data</vt:lpstr>
      <vt:lpstr>Send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2024-11-11T05:55:53Z</dcterms:modified>
</cp:coreProperties>
</file>